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_Data" sheetId="1" r:id="rId4"/>
    <sheet state="visible" name="Forecast_Model" sheetId="2" r:id="rId5"/>
    <sheet state="visible" name="Accuracy_Metrics" sheetId="3" r:id="rId6"/>
    <sheet state="visible" name="Dashboard" sheetId="4" r:id="rId7"/>
  </sheets>
  <definedNames/>
  <calcPr/>
  <extLst>
    <ext uri="GoogleSheetsCustomDataVersion2">
      <go:sheetsCustomData xmlns:go="http://customooxmlschemas.google.com/" r:id="rId8" roundtripDataChecksum="N2QuPozk51lAA0wApWKfVwzvHFVMhQ4vhP8nqfWCaBc="/>
    </ext>
  </extLst>
</workbook>
</file>

<file path=xl/sharedStrings.xml><?xml version="1.0" encoding="utf-8"?>
<sst xmlns="http://schemas.openxmlformats.org/spreadsheetml/2006/main" count="324" uniqueCount="67">
  <si>
    <t>Month</t>
  </si>
  <si>
    <t>Date</t>
  </si>
  <si>
    <t>SKU_ID</t>
  </si>
  <si>
    <t>Product_Name</t>
  </si>
  <si>
    <t>Category</t>
  </si>
  <si>
    <t>Units_Sold</t>
  </si>
  <si>
    <t>Unit_Price</t>
  </si>
  <si>
    <t>Promo_Flag</t>
  </si>
  <si>
    <t>SKU001</t>
  </si>
  <si>
    <t>Wireless Mouse</t>
  </si>
  <si>
    <t>Electronics</t>
  </si>
  <si>
    <t>SKU002</t>
  </si>
  <si>
    <t>USB Cable</t>
  </si>
  <si>
    <t>Accessories</t>
  </si>
  <si>
    <t>SKU003</t>
  </si>
  <si>
    <t>Laptop Stand</t>
  </si>
  <si>
    <t>Actual_Sales(SKU001)</t>
  </si>
  <si>
    <t>3M_MA(SKU001)</t>
  </si>
  <si>
    <t>6M_MA(SKU001)</t>
  </si>
  <si>
    <t>WMA(SKU001)</t>
  </si>
  <si>
    <t>Exp_Smooth(SKU001)</t>
  </si>
  <si>
    <t>Linear_Reg(SKU001)</t>
  </si>
  <si>
    <t>Best_Forecast(SKU001)</t>
  </si>
  <si>
    <t>Actual_Sales(SKU002)</t>
  </si>
  <si>
    <t>3M_MA(SKU002)</t>
  </si>
  <si>
    <t>6M_MA(SKU002)</t>
  </si>
  <si>
    <t>WMA(SKU002)</t>
  </si>
  <si>
    <t>Exp_Smooth(SKU002)</t>
  </si>
  <si>
    <t>Linear_Reg(SKU002)</t>
  </si>
  <si>
    <t>Best_Forecast(SKU002)</t>
  </si>
  <si>
    <t>Actual_Sales(SKU003)</t>
  </si>
  <si>
    <t>3M_MA(SKU003)</t>
  </si>
  <si>
    <t>6M_MA(SKU003)</t>
  </si>
  <si>
    <t>WMA(SKU003)</t>
  </si>
  <si>
    <t>Exp_Smooth(SKU003)</t>
  </si>
  <si>
    <t>Linear_Reg(SKU003)</t>
  </si>
  <si>
    <t>Best_Forecast(SKU003)</t>
  </si>
  <si>
    <t>Alpha</t>
  </si>
  <si>
    <t>Actual(SKU001)</t>
  </si>
  <si>
    <t>3M_MA_Error(SKU001)</t>
  </si>
  <si>
    <t>6M_MA_Error(SKU001)</t>
  </si>
  <si>
    <t>WMA_Error(SKU001)</t>
  </si>
  <si>
    <t>Exp_Error(SKU001)</t>
  </si>
  <si>
    <t>Reg_Error(SKU001)</t>
  </si>
  <si>
    <t>Actual(SKU002)</t>
  </si>
  <si>
    <t>3M_MA_Error(SKU002)</t>
  </si>
  <si>
    <t>6M_MA_Error(SKU002)</t>
  </si>
  <si>
    <t>WMA_Error(SKU002)</t>
  </si>
  <si>
    <t>Exp_Error(SKU002)</t>
  </si>
  <si>
    <t>Reg_Error(SKU002)</t>
  </si>
  <si>
    <t>Actual(SKU003)</t>
  </si>
  <si>
    <t>3M_MA_Error(SKU003)</t>
  </si>
  <si>
    <t>6M_MA_Error(SKU003)</t>
  </si>
  <si>
    <t>WMA_Error(SKU003)</t>
  </si>
  <si>
    <t>Exp_Error(SKU003)</t>
  </si>
  <si>
    <t>Reg_Error(SKU003)</t>
  </si>
  <si>
    <t>Metric</t>
  </si>
  <si>
    <t>MAE</t>
  </si>
  <si>
    <t>MAPE</t>
  </si>
  <si>
    <t>RMSE</t>
  </si>
  <si>
    <t>Forecast Bias</t>
  </si>
  <si>
    <t>ABS_Pct_Error(SKU001)</t>
  </si>
  <si>
    <t>Best Method</t>
  </si>
  <si>
    <t>Lowest MAPE</t>
  </si>
  <si>
    <t>Forecast Accuracy</t>
  </si>
  <si>
    <t>SKUs Analyzed</t>
  </si>
  <si>
    <t>Weighted Moving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</si>
</sst>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\-mmm\-yyyy"/>
    <numFmt numFmtId="165" formatCode="dd\-mmmm\-yyyy"/>
    <numFmt numFmtId="166" formatCode="dd/mm/yyyy"/>
    <numFmt numFmtId="167" formatCode="0.0"/>
  </numFmts>
  <fonts count="10">
    <font>
      <sz val="10.0"/>
      <color rgb="FF000000"/>
      <name val="Arial"/>
      <scheme val="minor"/>
    </font>
    <font>
      <b/>
      <sz val="10.0"/>
      <color theme="1"/>
      <name val="Spectral"/>
    </font>
    <font>
      <sz val="10.0"/>
      <color theme="1"/>
      <name val="Spectral"/>
    </font>
    <font/>
    <font>
      <sz val="10.0"/>
      <color rgb="FF000000"/>
      <name val="Spectral"/>
    </font>
    <font>
      <sz val="10.0"/>
      <color rgb="FFFFFFFF"/>
      <name val="Spectral"/>
    </font>
    <font>
      <b/>
      <sz val="10.0"/>
      <color rgb="FFFFFFFF"/>
      <name val="Spectral"/>
    </font>
    <font>
      <color theme="1"/>
      <name val="Spectral"/>
    </font>
    <font>
      <b/>
      <color theme="1"/>
      <name val="Spectral"/>
    </font>
    <font>
      <color rgb="FF24292E"/>
      <name val="Spectral"/>
    </font>
  </fonts>
  <fills count="6">
    <fill>
      <patternFill patternType="none"/>
    </fill>
    <fill>
      <patternFill patternType="lightGray"/>
    </fill>
    <fill>
      <patternFill patternType="solid">
        <fgColor rgb="FF63D297"/>
        <bgColor rgb="FF63D297"/>
      </patternFill>
    </fill>
    <fill>
      <patternFill patternType="solid">
        <fgColor rgb="FFFFFFFF"/>
        <bgColor rgb="FFFFFFFF"/>
      </patternFill>
    </fill>
    <fill>
      <patternFill patternType="solid">
        <fgColor rgb="FFE7F9EF"/>
        <bgColor rgb="FFE7F9EF"/>
      </patternFill>
    </fill>
    <fill>
      <patternFill patternType="solid">
        <fgColor rgb="FFBDBDBD"/>
        <bgColor rgb="FFBDBDBD"/>
      </patternFill>
    </fill>
  </fills>
  <borders count="8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2" fillId="3" fontId="1" numFmtId="0" xfId="0" applyAlignment="1" applyBorder="1" applyFill="1" applyFont="1">
      <alignment horizontal="right"/>
    </xf>
    <xf borderId="2" fillId="3" fontId="1" numFmtId="164" xfId="0" applyAlignment="1" applyBorder="1" applyFont="1" applyNumberFormat="1">
      <alignment horizontal="right"/>
    </xf>
    <xf borderId="3" fillId="3" fontId="2" numFmtId="0" xfId="0" applyBorder="1" applyFont="1"/>
    <xf borderId="3" fillId="3" fontId="2" numFmtId="0" xfId="0" applyAlignment="1" applyBorder="1" applyFont="1">
      <alignment horizontal="right"/>
    </xf>
    <xf borderId="4" fillId="0" fontId="3" numFmtId="0" xfId="0" applyBorder="1" applyFont="1"/>
    <xf borderId="3" fillId="4" fontId="2" numFmtId="0" xfId="0" applyBorder="1" applyFill="1" applyFont="1"/>
    <xf borderId="3" fillId="4" fontId="2" numFmtId="0" xfId="0" applyAlignment="1" applyBorder="1" applyFont="1">
      <alignment horizontal="right"/>
    </xf>
    <xf borderId="5" fillId="0" fontId="3" numFmtId="0" xfId="0" applyBorder="1" applyFont="1"/>
    <xf borderId="2" fillId="4" fontId="1" numFmtId="0" xfId="0" applyAlignment="1" applyBorder="1" applyFont="1">
      <alignment horizontal="right"/>
    </xf>
    <xf borderId="2" fillId="4" fontId="1" numFmtId="164" xfId="0" applyAlignment="1" applyBorder="1" applyFont="1" applyNumberFormat="1">
      <alignment horizontal="right"/>
    </xf>
    <xf borderId="2" fillId="3" fontId="1" numFmtId="165" xfId="0" applyAlignment="1" applyBorder="1" applyFont="1" applyNumberFormat="1">
      <alignment horizontal="right"/>
    </xf>
    <xf borderId="0" fillId="0" fontId="4" numFmtId="0" xfId="0" applyFont="1"/>
    <xf borderId="3" fillId="0" fontId="1" numFmtId="2" xfId="0" applyAlignment="1" applyBorder="1" applyFont="1" applyNumberFormat="1">
      <alignment horizontal="center"/>
    </xf>
    <xf borderId="0" fillId="0" fontId="1" numFmtId="2" xfId="0" applyAlignment="1" applyFont="1" applyNumberFormat="1">
      <alignment horizontal="center"/>
    </xf>
    <xf borderId="3" fillId="0" fontId="1" numFmtId="1" xfId="0" applyBorder="1" applyFont="1" applyNumberFormat="1"/>
    <xf borderId="3" fillId="0" fontId="1" numFmtId="166" xfId="0" applyBorder="1" applyFont="1" applyNumberFormat="1"/>
    <xf borderId="3" fillId="0" fontId="2" numFmtId="2" xfId="0" applyBorder="1" applyFont="1" applyNumberFormat="1"/>
    <xf borderId="0" fillId="0" fontId="2" numFmtId="2" xfId="0" applyFont="1" applyNumberFormat="1"/>
    <xf borderId="3" fillId="2" fontId="1" numFmtId="2" xfId="0" applyBorder="1" applyFont="1" applyNumberFormat="1"/>
    <xf borderId="3" fillId="4" fontId="1" numFmtId="167" xfId="0" applyBorder="1" applyFont="1" applyNumberFormat="1"/>
    <xf borderId="3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0" fontId="1" numFmtId="0" xfId="0" applyBorder="1" applyFont="1"/>
    <xf borderId="3" fillId="0" fontId="2" numFmtId="0" xfId="0" applyBorder="1" applyFont="1"/>
    <xf borderId="3" fillId="0" fontId="2" numFmtId="0" xfId="0" applyAlignment="1" applyBorder="1" applyFont="1">
      <alignment horizontal="right"/>
    </xf>
    <xf borderId="0" fillId="0" fontId="5" numFmtId="0" xfId="0" applyFont="1"/>
    <xf borderId="0" fillId="0" fontId="6" numFmtId="2" xfId="0" applyAlignment="1" applyFont="1" applyNumberFormat="1">
      <alignment horizontal="center"/>
    </xf>
    <xf borderId="0" fillId="0" fontId="6" numFmtId="166" xfId="0" applyFont="1" applyNumberFormat="1"/>
    <xf borderId="0" fillId="0" fontId="7" numFmtId="0" xfId="0" applyFont="1"/>
    <xf borderId="6" fillId="5" fontId="8" numFmtId="0" xfId="0" applyAlignment="1" applyBorder="1" applyFill="1" applyFont="1">
      <alignment horizontal="center" readingOrder="0"/>
    </xf>
    <xf borderId="7" fillId="5" fontId="3" numFmtId="0" xfId="0" applyBorder="1" applyFont="1"/>
    <xf borderId="6" fillId="3" fontId="9" numFmtId="0" xfId="0" applyAlignment="1" applyBorder="1" applyFont="1">
      <alignment horizontal="center" readingOrder="0"/>
    </xf>
    <xf borderId="7" fillId="3" fontId="3" numFmtId="0" xfId="0" applyBorder="1" applyFont="1"/>
    <xf borderId="6" fillId="3" fontId="7" numFmtId="0" xfId="0" applyAlignment="1" applyBorder="1" applyFont="1">
      <alignment horizontal="center" readingOrder="0"/>
    </xf>
    <xf borderId="6" fillId="3" fontId="7" numFmtId="2" xfId="0" applyAlignment="1" applyBorder="1" applyFont="1" applyNumberFormat="1">
      <alignment horizontal="center"/>
    </xf>
  </cellXfs>
  <cellStyles count="1">
    <cellStyle xfId="0" name="Normal" builtinId="0"/>
  </cellStyles>
  <dxfs count="13"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12">
    <tableStyle count="3" pivot="0" name="Forecast_Model-style">
      <tableStyleElement dxfId="4" type="headerRow"/>
      <tableStyleElement dxfId="5" type="firstRowStripe"/>
      <tableStyleElement dxfId="6" type="secondRowStripe"/>
    </tableStyle>
    <tableStyle count="3" pivot="0" name="Forecast_Model-style 2">
      <tableStyleElement dxfId="7" type="headerRow"/>
      <tableStyleElement dxfId="5" type="firstRowStripe"/>
      <tableStyleElement dxfId="8" type="secondRowStripe"/>
    </tableStyle>
    <tableStyle count="3" pivot="0" name="Forecast_Model-style 3">
      <tableStyleElement dxfId="9" type="headerRow"/>
      <tableStyleElement dxfId="5" type="firstRowStripe"/>
      <tableStyleElement dxfId="10" type="secondRowStripe"/>
    </tableStyle>
    <tableStyle count="3" pivot="0" name="Forecast_Model-style 4">
      <tableStyleElement dxfId="11" type="headerRow"/>
      <tableStyleElement dxfId="5" type="firstRowStripe"/>
      <tableStyleElement dxfId="12" type="secondRowStripe"/>
    </tableStyle>
    <tableStyle count="3" pivot="0" name="Accuracy_Metrics-style">
      <tableStyleElement dxfId="4" type="headerRow"/>
      <tableStyleElement dxfId="5" type="firstRowStripe"/>
      <tableStyleElement dxfId="6" type="secondRowStripe"/>
    </tableStyle>
    <tableStyle count="3" pivot="0" name="Accuracy_Metrics-style 2">
      <tableStyleElement dxfId="7" type="headerRow"/>
      <tableStyleElement dxfId="5" type="firstRowStripe"/>
      <tableStyleElement dxfId="8" type="secondRowStripe"/>
    </tableStyle>
    <tableStyle count="3" pivot="0" name="Accuracy_Metrics-style 3">
      <tableStyleElement dxfId="9" type="headerRow"/>
      <tableStyleElement dxfId="5" type="firstRowStripe"/>
      <tableStyleElement dxfId="10" type="secondRowStripe"/>
    </tableStyle>
    <tableStyle count="3" pivot="0" name="Accuracy_Metrics-style 4">
      <tableStyleElement dxfId="11" type="headerRow"/>
      <tableStyleElement dxfId="5" type="firstRowStripe"/>
      <tableStyleElement dxfId="12" type="secondRowStripe"/>
    </tableStyle>
    <tableStyle count="3" pivot="0" name="Accuracy_Metrics-style 5">
      <tableStyleElement dxfId="4" type="headerRow"/>
      <tableStyleElement dxfId="5" type="firstRowStripe"/>
      <tableStyleElement dxfId="6" type="secondRowStripe"/>
    </tableStyle>
    <tableStyle count="3" pivot="0" name="Accuracy_Metrics-style 6">
      <tableStyleElement dxfId="7" type="headerRow"/>
      <tableStyleElement dxfId="5" type="firstRowStripe"/>
      <tableStyleElement dxfId="8" type="secondRowStripe"/>
    </tableStyle>
    <tableStyle count="3" pivot="0" name="Accuracy_Metrics-style 7">
      <tableStyleElement dxfId="9" type="headerRow"/>
      <tableStyleElement dxfId="5" type="firstRowStripe"/>
      <tableStyleElement dxfId="10" type="secondRowStripe"/>
    </tableStyle>
    <tableStyle count="3" pivot="0" name="Accuracy_Metrics-style 8">
      <tableStyleElement dxfId="11" type="headerRow"/>
      <tableStyleElement dxfId="5" type="firstRowStripe"/>
      <tableStyleElement dxfId="1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serif"/>
              </a:defRPr>
            </a:pPr>
            <a:r>
              <a:rPr b="1" i="0" sz="1400">
                <a:solidFill>
                  <a:srgbClr val="000000"/>
                </a:solidFill>
                <a:latin typeface="serif"/>
              </a:rPr>
              <a:t>Forecast Accuracy by Method (MAPE%) - SKU002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3M_MA(SKU002)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#,##0.00" sourceLinked="0"/>
              <c:txPr>
                <a:bodyPr/>
                <a:lstStyle/>
                <a:p>
                  <a:pPr lvl="0">
                    <a:defRPr b="1" i="0" sz="900">
                      <a:latin typeface="Aptos Serif"/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0" sourceLinked="0"/>
            <c:txPr>
              <a:bodyPr/>
              <a:lstStyle/>
              <a:p>
                <a:pPr lvl="0">
                  <a:defRPr b="0" i="0" sz="900">
                    <a:latin typeface="+mn-lt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Accuracy_Metrics!$B$991</c:f>
              <c:numCache/>
            </c:numRef>
          </c:val>
        </c:ser>
        <c:ser>
          <c:idx val="1"/>
          <c:order val="1"/>
          <c:tx>
            <c:v>6M_MA(SKU002)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#,##0.00" sourceLinked="0"/>
            <c:txPr>
              <a:bodyPr/>
              <a:lstStyle/>
              <a:p>
                <a:pPr lvl="0">
                  <a:defRPr b="1" i="0" sz="900">
                    <a:latin typeface="Aptos 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Accuracy_Metrics!$B$992</c:f>
              <c:numCache/>
            </c:numRef>
          </c:val>
        </c:ser>
        <c:ser>
          <c:idx val="2"/>
          <c:order val="2"/>
          <c:tx>
            <c:v>WMA(SKU002)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General" sourceLinked="1"/>
              <c:txPr>
                <a:bodyPr/>
                <a:lstStyle/>
                <a:p>
                  <a:pPr lvl="0">
                    <a:defRPr sz="1000"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Accuracy_Metrics!$B$993</c:f>
              <c:numCache/>
            </c:numRef>
          </c:val>
        </c:ser>
        <c:ser>
          <c:idx val="3"/>
          <c:order val="3"/>
          <c:tx>
            <c:v>Exp_Smooth(SKU002)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#,##0.00" sourceLinked="0"/>
            <c:txPr>
              <a:bodyPr/>
              <a:lstStyle/>
              <a:p>
                <a:pPr lvl="0">
                  <a:defRPr b="1" i="0" sz="900">
                    <a:latin typeface="Aptos 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Accuracy_Metrics!$B$994</c:f>
              <c:numCache/>
            </c:numRef>
          </c:val>
        </c:ser>
        <c:ser>
          <c:idx val="4"/>
          <c:order val="4"/>
          <c:tx>
            <c:v>Linear_Reg(SKU002)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dLbl>
              <c:idx val="0"/>
              <c:numFmt formatCode="#,##0.00" sourceLinked="0"/>
              <c:txPr>
                <a:bodyPr/>
                <a:lstStyle/>
                <a:p>
                  <a:pPr lvl="0">
                    <a:defRPr>
                      <a:solidFill>
                        <a:srgbClr val="FFFFFF"/>
                      </a:solidFill>
                    </a:defRPr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numFmt formatCode="#,##0.00" sourceLinked="0"/>
            <c:txPr>
              <a:bodyPr/>
              <a:lstStyle/>
              <a:p>
                <a:pPr lvl="0">
                  <a:defRPr b="1" i="0" sz="900">
                    <a:latin typeface="Aptos 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Accuracy_Metrics!$B$995</c:f>
              <c:numCache/>
            </c:numRef>
          </c:val>
        </c:ser>
        <c:axId val="705284303"/>
        <c:axId val="357905523"/>
      </c:barChart>
      <c:catAx>
        <c:axId val="70528430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57905523"/>
      </c:catAx>
      <c:valAx>
        <c:axId val="3579055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MAPE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ptos Serif"/>
              </a:defRPr>
            </a:pPr>
          </a:p>
        </c:txPr>
        <c:crossAx val="705284303"/>
        <c:crosses val="max"/>
      </c:valAx>
    </c:plotArea>
    <c:legend>
      <c:legendPos val="l"/>
      <c:layout>
        <c:manualLayout>
          <c:xMode val="edge"/>
          <c:yMode val="edge"/>
          <c:x val="0.026074351975394025"/>
          <c:y val="0.30164701580258696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ptos Serif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Aptos Serif"/>
              </a:defRPr>
            </a:pPr>
            <a:r>
              <a:rPr b="1" i="0" sz="1400">
                <a:solidFill>
                  <a:schemeClr val="dk1"/>
                </a:solidFill>
                <a:latin typeface="Aptos Serif"/>
              </a:rPr>
              <a:t>Forecast Accuracy by Method (MAPE%) - SKU001</a:t>
            </a:r>
          </a:p>
        </c:rich>
      </c:tx>
      <c:layout>
        <c:manualLayout>
          <c:xMode val="edge"/>
          <c:yMode val="edge"/>
          <c:x val="0.025421932680468787"/>
          <c:y val="0.04560872753942061"/>
        </c:manualLayout>
      </c:layout>
      <c:overlay val="0"/>
    </c:title>
    <c:plotArea>
      <c:layout/>
      <c:barChart>
        <c:barDir val="bar"/>
        <c:ser>
          <c:idx val="0"/>
          <c:order val="0"/>
          <c:tx>
            <c:v>3M_MA(SKU001)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#,##0.00" sourceLinked="0"/>
            <c:txPr>
              <a:bodyPr/>
              <a:lstStyle/>
              <a:p>
                <a:pPr lvl="0">
                  <a:defRPr b="1" i="0" sz="900">
                    <a:latin typeface="Aptos 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Accuracy_Metrics!$B$986</c:f>
              <c:numCache/>
            </c:numRef>
          </c:val>
        </c:ser>
        <c:ser>
          <c:idx val="1"/>
          <c:order val="1"/>
          <c:tx>
            <c:v>6M_MA(SKU001)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#,##0.00" sourceLinked="0"/>
            <c:txPr>
              <a:bodyPr/>
              <a:lstStyle/>
              <a:p>
                <a:pPr lvl="0">
                  <a:defRPr b="1" i="0" sz="900">
                    <a:latin typeface="Aptos 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Accuracy_Metrics!$B$987</c:f>
              <c:numCache/>
            </c:numRef>
          </c:val>
        </c:ser>
        <c:ser>
          <c:idx val="2"/>
          <c:order val="2"/>
          <c:tx>
            <c:v>WMA(SKU001)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#,##0.00" sourceLinked="0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Aptos 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Accuracy_Metrics!$B$988</c:f>
              <c:numCache/>
            </c:numRef>
          </c:val>
        </c:ser>
        <c:ser>
          <c:idx val="3"/>
          <c:order val="3"/>
          <c:tx>
            <c:v>Exp_Smooth(SKU001)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#,##0.00" sourceLinked="0"/>
            <c:txPr>
              <a:bodyPr/>
              <a:lstStyle/>
              <a:p>
                <a:pPr lvl="0">
                  <a:defRPr b="1" i="0" sz="900">
                    <a:latin typeface="Aptos 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Accuracy_Metrics!$B$989</c:f>
              <c:numCache/>
            </c:numRef>
          </c:val>
        </c:ser>
        <c:ser>
          <c:idx val="4"/>
          <c:order val="4"/>
          <c:tx>
            <c:v>Linear_Reg(SKU001)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Lbls>
            <c:numFmt formatCode="#,##0.00" sourceLinked="0"/>
            <c:txPr>
              <a:bodyPr/>
              <a:lstStyle/>
              <a:p>
                <a:pPr lvl="0">
                  <a:defRPr b="1" i="0" sz="900">
                    <a:solidFill>
                      <a:srgbClr val="FFFFFF"/>
                    </a:solidFill>
                    <a:latin typeface="Aptos 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Accuracy_Metrics!$B$990</c:f>
              <c:numCache/>
            </c:numRef>
          </c:val>
        </c:ser>
        <c:axId val="1549432963"/>
        <c:axId val="1773102594"/>
      </c:barChart>
      <c:catAx>
        <c:axId val="1549432963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3102594"/>
      </c:catAx>
      <c:valAx>
        <c:axId val="177310259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900">
                    <a:solidFill>
                      <a:srgbClr val="000000"/>
                    </a:solidFill>
                    <a:latin typeface="Aptos Serif"/>
                  </a:defRPr>
                </a:pPr>
                <a:r>
                  <a:rPr b="1" i="0" sz="900">
                    <a:solidFill>
                      <a:srgbClr val="000000"/>
                    </a:solidFill>
                    <a:latin typeface="Aptos Serif"/>
                  </a:rPr>
                  <a:t>MAPE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800">
                <a:solidFill>
                  <a:srgbClr val="000000"/>
                </a:solidFill>
                <a:latin typeface="Aptos Serif"/>
              </a:defRPr>
            </a:pPr>
          </a:p>
        </c:txPr>
        <c:crossAx val="1549432963"/>
        <c:crosses val="max"/>
      </c:valAx>
    </c:plotArea>
    <c:legend>
      <c:legendPos val="l"/>
      <c:layout>
        <c:manualLayout>
          <c:xMode val="edge"/>
          <c:yMode val="edge"/>
          <c:x val="0.03147629128187336"/>
          <c:y val="0.3142037802087351"/>
        </c:manualLayout>
      </c:layout>
      <c:overlay val="0"/>
      <c:txPr>
        <a:bodyPr/>
        <a:lstStyle/>
        <a:p>
          <a:pPr lvl="0">
            <a:defRPr b="0" i="0" sz="800">
              <a:solidFill>
                <a:srgbClr val="1A1A1A"/>
              </a:solidFill>
              <a:latin typeface="Aptos Serif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serif"/>
              </a:defRPr>
            </a:pPr>
            <a:r>
              <a:rPr b="1" i="0" sz="1400">
                <a:solidFill>
                  <a:schemeClr val="dk1"/>
                </a:solidFill>
                <a:latin typeface="serif"/>
              </a:rPr>
              <a:t>Forecast Accuracy by Method (MAPE%) - SKU003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v>3M_MA(SKU003)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Accuracy_Metrics!$B$996</c:f>
              <c:numCache/>
            </c:numRef>
          </c:val>
        </c:ser>
        <c:ser>
          <c:idx val="1"/>
          <c:order val="1"/>
          <c:tx>
            <c:v>6M_MA(SKU003)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Accuracy_Metrics!$B$997</c:f>
              <c:numCache/>
            </c:numRef>
          </c:val>
        </c:ser>
        <c:ser>
          <c:idx val="2"/>
          <c:order val="2"/>
          <c:tx>
            <c:v>WMA(SKU003)</c:v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Accuracy_Metrics!$B$998</c:f>
              <c:numCache/>
            </c:numRef>
          </c:val>
        </c:ser>
        <c:ser>
          <c:idx val="3"/>
          <c:order val="3"/>
          <c:tx>
            <c:v>Exp_Smooth(SKU003)</c:v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Accuracy_Metrics!$B$999</c:f>
              <c:numCache/>
            </c:numRef>
          </c:val>
        </c:ser>
        <c:ser>
          <c:idx val="4"/>
          <c:order val="4"/>
          <c:tx>
            <c:v>Linear_Reg(SKU003)</c:v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0"/>
          </c:dPt>
          <c:dLbls>
            <c:numFmt formatCode="General" sourceLinked="1"/>
            <c:txPr>
              <a:bodyPr/>
              <a:lstStyle/>
              <a:p>
                <a:pPr lvl="0">
                  <a:defRPr b="1" sz="1000">
                    <a:solidFill>
                      <a:srgbClr val="FFFFFF"/>
                    </a:solidFill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Accuracy_Metrics!$B$1000</c:f>
              <c:numCache/>
            </c:numRef>
          </c:val>
        </c:ser>
        <c:axId val="2046529611"/>
        <c:axId val="1418980584"/>
      </c:barChart>
      <c:catAx>
        <c:axId val="204652961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8980584"/>
      </c:catAx>
      <c:valAx>
        <c:axId val="141898058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90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 sz="900">
                    <a:solidFill>
                      <a:srgbClr val="000000"/>
                    </a:solidFill>
                    <a:latin typeface="+mn-lt"/>
                  </a:rPr>
                  <a:t>MAPE (%)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rgbClr val="000000"/>
                </a:solidFill>
                <a:latin typeface="Aptos Serif"/>
              </a:defRPr>
            </a:pPr>
          </a:p>
        </c:txPr>
        <c:crossAx val="2046529611"/>
        <c:crosses val="max"/>
      </c:valAx>
    </c:plotArea>
    <c:legend>
      <c:legendPos val="l"/>
      <c:layout>
        <c:manualLayout>
          <c:xMode val="edge"/>
          <c:yMode val="edge"/>
          <c:x val="0.02439324872880029"/>
          <c:y val="0.2917926278051003"/>
        </c:manualLayout>
      </c:layout>
      <c:overlay val="0"/>
      <c:txPr>
        <a:bodyPr/>
        <a:lstStyle/>
        <a:p>
          <a:pPr lvl="0">
            <a:defRPr b="0" i="0" sz="900">
              <a:solidFill>
                <a:srgbClr val="1A1A1A"/>
              </a:solidFill>
              <a:latin typeface="sans-serif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Chart4.png"/><Relationship Id="rId5" Type="http://schemas.openxmlformats.org/officeDocument/2006/relationships/image" Target="../media/Chart5.png"/><Relationship Id="rId6" Type="http://schemas.openxmlformats.org/officeDocument/2006/relationships/image" Target="../media/Chart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400050</xdr:colOff>
      <xdr:row>19</xdr:row>
      <xdr:rowOff>9525</xdr:rowOff>
    </xdr:from>
    <xdr:ext cx="6200775" cy="2895600"/>
    <xdr:graphicFrame>
      <xdr:nvGraphicFramePr>
        <xdr:cNvPr id="1174871039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371475</xdr:colOff>
      <xdr:row>4</xdr:row>
      <xdr:rowOff>0</xdr:rowOff>
    </xdr:from>
    <xdr:ext cx="6210300" cy="2886075"/>
    <xdr:graphicFrame>
      <xdr:nvGraphicFramePr>
        <xdr:cNvPr id="104516963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409575</xdr:colOff>
      <xdr:row>34</xdr:row>
      <xdr:rowOff>19050</xdr:rowOff>
    </xdr:from>
    <xdr:ext cx="6181725" cy="2533650"/>
    <xdr:graphicFrame>
      <xdr:nvGraphicFramePr>
        <xdr:cNvPr id="66208789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4</xdr:row>
      <xdr:rowOff>0</xdr:rowOff>
    </xdr:from>
    <xdr:ext cx="8077200" cy="2886075"/>
    <xdr:pic>
      <xdr:nvPicPr>
        <xdr:cNvPr id="165298468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19</xdr:row>
      <xdr:rowOff>9525</xdr:rowOff>
    </xdr:from>
    <xdr:ext cx="8086725" cy="2895600"/>
    <xdr:pic>
      <xdr:nvPicPr>
        <xdr:cNvPr id="463435587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34</xdr:row>
      <xdr:rowOff>28575</xdr:rowOff>
    </xdr:from>
    <xdr:ext cx="8086725" cy="2533650"/>
    <xdr:pic>
      <xdr:nvPicPr>
        <xdr:cNvPr id="453566291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1:B25" displayName="Table_1" name="Table_1" id="1">
  <tableColumns count="2">
    <tableColumn name="Month" id="1"/>
    <tableColumn name="Date" id="2"/>
  </tableColumns>
  <tableStyleInfo name="Forecast_Model-style" showColumnStripes="0" showFirstColumn="1" showLastColumn="1" showRowStripes="1"/>
</table>
</file>

<file path=xl/tables/table2.xml><?xml version="1.0" encoding="utf-8"?>
<table xmlns="http://schemas.openxmlformats.org/spreadsheetml/2006/main" ref="C1:I25" displayName="Table_2" name="Table_2" id="2">
  <tableColumns count="7">
    <tableColumn name="Actual_Sales(SKU001)" id="1"/>
    <tableColumn name="3M_MA(SKU001)" id="2"/>
    <tableColumn name="6M_MA(SKU001)" id="3"/>
    <tableColumn name="WMA(SKU001)" id="4"/>
    <tableColumn name="Exp_Smooth(SKU001)" id="5"/>
    <tableColumn name="Linear_Reg(SKU001)" id="6"/>
    <tableColumn name="Best_Forecast(SKU001)" id="7"/>
  </tableColumns>
  <tableStyleInfo name="Forecast_Model-style 2" showColumnStripes="0" showFirstColumn="1" showLastColumn="1" showRowStripes="1"/>
</table>
</file>

<file path=xl/tables/table3.xml><?xml version="1.0" encoding="utf-8"?>
<table xmlns="http://schemas.openxmlformats.org/spreadsheetml/2006/main" ref="J1:P25" displayName="Table_3" name="Table_3" id="3">
  <tableColumns count="7">
    <tableColumn name="Actual_Sales(SKU002)" id="1"/>
    <tableColumn name="3M_MA(SKU002)" id="2"/>
    <tableColumn name="6M_MA(SKU002)" id="3"/>
    <tableColumn name="WMA(SKU002)" id="4"/>
    <tableColumn name="Exp_Smooth(SKU002)" id="5"/>
    <tableColumn name="Linear_Reg(SKU002)" id="6"/>
    <tableColumn name="Best_Forecast(SKU002)" id="7"/>
  </tableColumns>
  <tableStyleInfo name="Forecast_Model-style 3" showColumnStripes="0" showFirstColumn="1" showLastColumn="1" showRowStripes="1"/>
</table>
</file>

<file path=xl/tables/table4.xml><?xml version="1.0" encoding="utf-8"?>
<table xmlns="http://schemas.openxmlformats.org/spreadsheetml/2006/main" ref="Q1:W25" displayName="Table_4" name="Table_4" id="4">
  <tableColumns count="7">
    <tableColumn name="Actual_Sales(SKU003)" id="1"/>
    <tableColumn name="3M_MA(SKU003)" id="2"/>
    <tableColumn name="6M_MA(SKU003)" id="3"/>
    <tableColumn name="WMA(SKU003)" id="4"/>
    <tableColumn name="Exp_Smooth(SKU003)" id="5"/>
    <tableColumn name="Linear_Reg(SKU003)" id="6"/>
    <tableColumn name="Best_Forecast(SKU003)" id="7"/>
  </tableColumns>
  <tableStyleInfo name="Forecast_Model-style 4" showColumnStripes="0" showFirstColumn="1" showLastColumn="1" showRowStripes="1"/>
</table>
</file>

<file path=xl/tables/table5.xml><?xml version="1.0" encoding="utf-8"?>
<table xmlns="http://schemas.openxmlformats.org/spreadsheetml/2006/main" ref="A1:A25" displayName="Table_5" name="Table_5" id="5">
  <tableColumns count="1">
    <tableColumn name="Month" id="1"/>
  </tableColumns>
  <tableStyleInfo name="Accuracy_Metrics-style" showColumnStripes="0" showFirstColumn="1" showLastColumn="1" showRowStripes="1"/>
</table>
</file>

<file path=xl/tables/table6.xml><?xml version="1.0" encoding="utf-8"?>
<table xmlns="http://schemas.openxmlformats.org/spreadsheetml/2006/main" ref="B1:G25" displayName="Table_6" name="Table_6" id="6">
  <tableColumns count="6">
    <tableColumn name="Actual(SKU001)" id="1"/>
    <tableColumn name="3M_MA_Error(SKU001)" id="2"/>
    <tableColumn name="6M_MA_Error(SKU001)" id="3"/>
    <tableColumn name="WMA_Error(SKU001)" id="4"/>
    <tableColumn name="Exp_Error(SKU001)" id="5"/>
    <tableColumn name="Reg_Error(SKU001)" id="6"/>
  </tableColumns>
  <tableStyleInfo name="Accuracy_Metrics-style 2" showColumnStripes="0" showFirstColumn="1" showLastColumn="1" showRowStripes="1"/>
</table>
</file>

<file path=xl/tables/table7.xml><?xml version="1.0" encoding="utf-8"?>
<table xmlns="http://schemas.openxmlformats.org/spreadsheetml/2006/main" ref="H1:M25" displayName="Table_7" name="Table_7" id="7">
  <tableColumns count="6">
    <tableColumn name="Actual(SKU002)" id="1"/>
    <tableColumn name="3M_MA_Error(SKU002)" id="2"/>
    <tableColumn name="6M_MA_Error(SKU002)" id="3"/>
    <tableColumn name="WMA_Error(SKU002)" id="4"/>
    <tableColumn name="Exp_Error(SKU002)" id="5"/>
    <tableColumn name="Reg_Error(SKU002)" id="6"/>
  </tableColumns>
  <tableStyleInfo name="Accuracy_Metrics-style 3" showColumnStripes="0" showFirstColumn="1" showLastColumn="1" showRowStripes="1"/>
</table>
</file>

<file path=xl/tables/table8.xml><?xml version="1.0" encoding="utf-8"?>
<table xmlns="http://schemas.openxmlformats.org/spreadsheetml/2006/main" ref="N1:S25" displayName="Table_8" name="Table_8" id="8">
  <tableColumns count="6">
    <tableColumn name="Actual(SKU003)" id="1"/>
    <tableColumn name="3M_MA_Error(SKU003)" id="2"/>
    <tableColumn name="6M_MA_Error(SKU003)" id="3"/>
    <tableColumn name="WMA_Error(SKU003)" id="4"/>
    <tableColumn name="Exp_Error(SKU003)" id="5"/>
    <tableColumn name="Reg_Error(SKU003)" id="6"/>
  </tableColumns>
  <tableStyleInfo name="Accuracy_Metrics-style 4" showColumnStripes="0" showFirstColumn="1" showLastColumn="1" showRowStripes="1"/>
</table>
</file>

<file path=xl/tables/table9.xml><?xml version="1.0" encoding="utf-8"?>
<table xmlns="http://schemas.openxmlformats.org/spreadsheetml/2006/main" ref="A30:A34" displayName="Table_9" name="Table_9" id="9">
  <tableColumns count="1">
    <tableColumn name="Metric" id="1"/>
  </tableColumns>
  <tableStyleInfo name="Accuracy_Metrics-style 5" showColumnStripes="0" showFirstColumn="1" showLastColumn="1" showRowStripes="1"/>
</table>
</file>

<file path=xl/tables/table10.xml><?xml version="1.0" encoding="utf-8"?>
<table xmlns="http://schemas.openxmlformats.org/spreadsheetml/2006/main" ref="B30:F34" displayName="Table_10" name="Table_10" id="10">
  <tableColumns count="5">
    <tableColumn name="3M_MA(SKU001)" id="1"/>
    <tableColumn name="6M_MA(SKU001)" id="2"/>
    <tableColumn name="WMA(SKU001)" id="3"/>
    <tableColumn name="Exp_Smooth(SKU001)" id="4"/>
    <tableColumn name="Linear_Reg(SKU001)" id="5"/>
  </tableColumns>
  <tableStyleInfo name="Accuracy_Metrics-style 6" showColumnStripes="0" showFirstColumn="1" showLastColumn="1" showRowStripes="1"/>
</table>
</file>

<file path=xl/tables/table11.xml><?xml version="1.0" encoding="utf-8"?>
<table xmlns="http://schemas.openxmlformats.org/spreadsheetml/2006/main" ref="G30:K34" displayName="Table_11" name="Table_11" id="11">
  <tableColumns count="5">
    <tableColumn name="3M_MA(SKU002)" id="1"/>
    <tableColumn name="6M_MA(SKU002)" id="2"/>
    <tableColumn name="WMA(SKU002)" id="3"/>
    <tableColumn name="Exp_Smooth(SKU002)" id="4"/>
    <tableColumn name="Linear_Reg(SKU002)" id="5"/>
  </tableColumns>
  <tableStyleInfo name="Accuracy_Metrics-style 7" showColumnStripes="0" showFirstColumn="1" showLastColumn="1" showRowStripes="1"/>
</table>
</file>

<file path=xl/tables/table12.xml><?xml version="1.0" encoding="utf-8"?>
<table xmlns="http://schemas.openxmlformats.org/spreadsheetml/2006/main" ref="L30:P34" displayName="Table_12" name="Table_12" id="12">
  <tableColumns count="5">
    <tableColumn name="3M_MA(SKU003)" id="1"/>
    <tableColumn name="6M_MA(SKU003)" id="2"/>
    <tableColumn name="WMA(SKU003)" id="3"/>
    <tableColumn name="Exp_Smooth(SKU003)" id="4"/>
    <tableColumn name="Linear_Reg(SKU003)" id="5"/>
  </tableColumns>
  <tableStyleInfo name="Accuracy_Metric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11" Type="http://schemas.openxmlformats.org/officeDocument/2006/relationships/table" Target="../tables/table6.xml"/><Relationship Id="rId10" Type="http://schemas.openxmlformats.org/officeDocument/2006/relationships/table" Target="../tables/table5.xml"/><Relationship Id="rId13" Type="http://schemas.openxmlformats.org/officeDocument/2006/relationships/table" Target="../tables/table8.xml"/><Relationship Id="rId12" Type="http://schemas.openxmlformats.org/officeDocument/2006/relationships/table" Target="../tables/table7.xml"/><Relationship Id="rId15" Type="http://schemas.openxmlformats.org/officeDocument/2006/relationships/table" Target="../tables/table10.xml"/><Relationship Id="rId14" Type="http://schemas.openxmlformats.org/officeDocument/2006/relationships/table" Target="../tables/table9.xml"/><Relationship Id="rId17" Type="http://schemas.openxmlformats.org/officeDocument/2006/relationships/table" Target="../tables/table12.xml"/><Relationship Id="rId16" Type="http://schemas.openxmlformats.org/officeDocument/2006/relationships/table" Target="../tables/table1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2.63"/>
    <col customWidth="1" min="4" max="4" width="17.0"/>
    <col customWidth="1" min="5" max="5" width="12.63"/>
    <col customWidth="1" min="6" max="6" width="14.0"/>
    <col customWidth="1" min="7" max="7" width="13.88"/>
    <col customWidth="1" min="8" max="8" width="14.75"/>
    <col customWidth="1" hidden="1" min="9" max="2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3">
        <v>1.0</v>
      </c>
      <c r="B2" s="4">
        <v>44927.0</v>
      </c>
      <c r="C2" s="5" t="s">
        <v>8</v>
      </c>
      <c r="D2" s="5" t="s">
        <v>9</v>
      </c>
      <c r="E2" s="5" t="s">
        <v>10</v>
      </c>
      <c r="F2" s="6">
        <v>245.0</v>
      </c>
      <c r="G2" s="6">
        <v>25.99</v>
      </c>
      <c r="H2" s="6">
        <v>0.0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7"/>
      <c r="B3" s="7"/>
      <c r="C3" s="8" t="s">
        <v>11</v>
      </c>
      <c r="D3" s="8" t="s">
        <v>12</v>
      </c>
      <c r="E3" s="8" t="s">
        <v>13</v>
      </c>
      <c r="F3" s="9">
        <v>532.0</v>
      </c>
      <c r="G3" s="9">
        <v>8.99</v>
      </c>
      <c r="H3" s="9">
        <v>0.0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10"/>
      <c r="B4" s="10"/>
      <c r="C4" s="5" t="s">
        <v>14</v>
      </c>
      <c r="D4" s="5" t="s">
        <v>15</v>
      </c>
      <c r="E4" s="5" t="s">
        <v>13</v>
      </c>
      <c r="F4" s="6">
        <v>123.0</v>
      </c>
      <c r="G4" s="6">
        <v>45.99</v>
      </c>
      <c r="H4" s="6">
        <v>0.0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11">
        <v>2.0</v>
      </c>
      <c r="B5" s="12">
        <v>44958.0</v>
      </c>
      <c r="C5" s="8" t="s">
        <v>8</v>
      </c>
      <c r="D5" s="8" t="s">
        <v>9</v>
      </c>
      <c r="E5" s="8" t="s">
        <v>10</v>
      </c>
      <c r="F5" s="9">
        <v>268.0</v>
      </c>
      <c r="G5" s="9">
        <v>25.99</v>
      </c>
      <c r="H5" s="9">
        <v>0.0</v>
      </c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7"/>
      <c r="B6" s="7"/>
      <c r="C6" s="5" t="s">
        <v>11</v>
      </c>
      <c r="D6" s="5" t="s">
        <v>12</v>
      </c>
      <c r="E6" s="5" t="s">
        <v>13</v>
      </c>
      <c r="F6" s="6">
        <v>548.0</v>
      </c>
      <c r="G6" s="6">
        <v>8.99</v>
      </c>
      <c r="H6" s="6">
        <v>0.0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10"/>
      <c r="B7" s="10"/>
      <c r="C7" s="8" t="s">
        <v>14</v>
      </c>
      <c r="D7" s="8" t="s">
        <v>15</v>
      </c>
      <c r="E7" s="8" t="s">
        <v>13</v>
      </c>
      <c r="F7" s="9">
        <v>134.0</v>
      </c>
      <c r="G7" s="9">
        <v>45.99</v>
      </c>
      <c r="H7" s="9">
        <v>0.0</v>
      </c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3">
        <v>3.0</v>
      </c>
      <c r="B8" s="4">
        <v>44986.0</v>
      </c>
      <c r="C8" s="5" t="s">
        <v>8</v>
      </c>
      <c r="D8" s="5" t="s">
        <v>9</v>
      </c>
      <c r="E8" s="5" t="s">
        <v>10</v>
      </c>
      <c r="F8" s="6">
        <v>312.0</v>
      </c>
      <c r="G8" s="6">
        <v>25.99</v>
      </c>
      <c r="H8" s="6">
        <v>1.0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7"/>
      <c r="B9" s="7"/>
      <c r="C9" s="8" t="s">
        <v>11</v>
      </c>
      <c r="D9" s="8" t="s">
        <v>12</v>
      </c>
      <c r="E9" s="8" t="s">
        <v>13</v>
      </c>
      <c r="F9" s="9">
        <v>589.0</v>
      </c>
      <c r="G9" s="9">
        <v>8.99</v>
      </c>
      <c r="H9" s="9">
        <v>1.0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0"/>
      <c r="B10" s="10"/>
      <c r="C10" s="5" t="s">
        <v>14</v>
      </c>
      <c r="D10" s="5" t="s">
        <v>15</v>
      </c>
      <c r="E10" s="5" t="s">
        <v>13</v>
      </c>
      <c r="F10" s="6">
        <v>156.0</v>
      </c>
      <c r="G10" s="6">
        <v>45.99</v>
      </c>
      <c r="H10" s="6">
        <v>1.0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1">
        <v>4.0</v>
      </c>
      <c r="B11" s="12">
        <v>45017.0</v>
      </c>
      <c r="C11" s="8" t="s">
        <v>8</v>
      </c>
      <c r="D11" s="8" t="s">
        <v>9</v>
      </c>
      <c r="E11" s="8" t="s">
        <v>10</v>
      </c>
      <c r="F11" s="9">
        <v>287.0</v>
      </c>
      <c r="G11" s="9">
        <v>25.99</v>
      </c>
      <c r="H11" s="9">
        <v>0.0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7"/>
      <c r="B12" s="7"/>
      <c r="C12" s="5" t="s">
        <v>11</v>
      </c>
      <c r="D12" s="5" t="s">
        <v>12</v>
      </c>
      <c r="E12" s="5" t="s">
        <v>13</v>
      </c>
      <c r="F12" s="6">
        <v>545.0</v>
      </c>
      <c r="G12" s="6">
        <v>8.99</v>
      </c>
      <c r="H12" s="6">
        <v>0.0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10"/>
      <c r="B13" s="10"/>
      <c r="C13" s="8" t="s">
        <v>14</v>
      </c>
      <c r="D13" s="8" t="s">
        <v>15</v>
      </c>
      <c r="E13" s="8" t="s">
        <v>13</v>
      </c>
      <c r="F13" s="9">
        <v>142.0</v>
      </c>
      <c r="G13" s="9">
        <v>45.99</v>
      </c>
      <c r="H13" s="9">
        <v>0.0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>
        <v>5.0</v>
      </c>
      <c r="B14" s="13">
        <v>45047.0</v>
      </c>
      <c r="C14" s="5" t="s">
        <v>8</v>
      </c>
      <c r="D14" s="5" t="s">
        <v>9</v>
      </c>
      <c r="E14" s="5" t="s">
        <v>10</v>
      </c>
      <c r="F14" s="6">
        <v>295.0</v>
      </c>
      <c r="G14" s="6">
        <v>25.99</v>
      </c>
      <c r="H14" s="6">
        <v>0.0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7"/>
      <c r="B15" s="7"/>
      <c r="C15" s="8" t="s">
        <v>11</v>
      </c>
      <c r="D15" s="8" t="s">
        <v>12</v>
      </c>
      <c r="E15" s="8" t="s">
        <v>13</v>
      </c>
      <c r="F15" s="9">
        <v>567.0</v>
      </c>
      <c r="G15" s="9">
        <v>8.99</v>
      </c>
      <c r="H15" s="9">
        <v>0.0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10"/>
      <c r="B16" s="10"/>
      <c r="C16" s="5" t="s">
        <v>14</v>
      </c>
      <c r="D16" s="5" t="s">
        <v>15</v>
      </c>
      <c r="E16" s="5" t="s">
        <v>13</v>
      </c>
      <c r="F16" s="6">
        <v>148.0</v>
      </c>
      <c r="G16" s="6">
        <v>45.99</v>
      </c>
      <c r="H16" s="6">
        <v>0.0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11">
        <v>6.0</v>
      </c>
      <c r="B17" s="12">
        <v>45078.0</v>
      </c>
      <c r="C17" s="8" t="s">
        <v>8</v>
      </c>
      <c r="D17" s="8" t="s">
        <v>9</v>
      </c>
      <c r="E17" s="8" t="s">
        <v>10</v>
      </c>
      <c r="F17" s="9">
        <v>278.0</v>
      </c>
      <c r="G17" s="9">
        <v>25.99</v>
      </c>
      <c r="H17" s="9">
        <v>0.0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7"/>
      <c r="B18" s="7"/>
      <c r="C18" s="5" t="s">
        <v>11</v>
      </c>
      <c r="D18" s="5" t="s">
        <v>12</v>
      </c>
      <c r="E18" s="5" t="s">
        <v>13</v>
      </c>
      <c r="F18" s="6">
        <v>534.0</v>
      </c>
      <c r="G18" s="6">
        <v>8.99</v>
      </c>
      <c r="H18" s="6">
        <v>0.0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10"/>
      <c r="B19" s="10"/>
      <c r="C19" s="8" t="s">
        <v>14</v>
      </c>
      <c r="D19" s="8" t="s">
        <v>15</v>
      </c>
      <c r="E19" s="8" t="s">
        <v>13</v>
      </c>
      <c r="F19" s="9">
        <v>138.0</v>
      </c>
      <c r="G19" s="9">
        <v>45.99</v>
      </c>
      <c r="H19" s="9">
        <v>0.0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3">
        <v>7.0</v>
      </c>
      <c r="B20" s="4">
        <v>45108.0</v>
      </c>
      <c r="C20" s="5" t="s">
        <v>8</v>
      </c>
      <c r="D20" s="5" t="s">
        <v>9</v>
      </c>
      <c r="E20" s="5" t="s">
        <v>10</v>
      </c>
      <c r="F20" s="6">
        <v>265.0</v>
      </c>
      <c r="G20" s="6">
        <v>25.99</v>
      </c>
      <c r="H20" s="6">
        <v>0.0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7"/>
      <c r="B21" s="7"/>
      <c r="C21" s="8" t="s">
        <v>11</v>
      </c>
      <c r="D21" s="8" t="s">
        <v>12</v>
      </c>
      <c r="E21" s="8" t="s">
        <v>13</v>
      </c>
      <c r="F21" s="9">
        <v>521.0</v>
      </c>
      <c r="G21" s="9">
        <v>8.99</v>
      </c>
      <c r="H21" s="9">
        <v>0.0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10"/>
      <c r="B22" s="10"/>
      <c r="C22" s="5" t="s">
        <v>14</v>
      </c>
      <c r="D22" s="5" t="s">
        <v>15</v>
      </c>
      <c r="E22" s="5" t="s">
        <v>13</v>
      </c>
      <c r="F22" s="6">
        <v>131.0</v>
      </c>
      <c r="G22" s="6">
        <v>45.99</v>
      </c>
      <c r="H22" s="6">
        <v>0.0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11">
        <v>8.0</v>
      </c>
      <c r="B23" s="12">
        <v>45139.0</v>
      </c>
      <c r="C23" s="8" t="s">
        <v>8</v>
      </c>
      <c r="D23" s="8" t="s">
        <v>9</v>
      </c>
      <c r="E23" s="8" t="s">
        <v>10</v>
      </c>
      <c r="F23" s="9">
        <v>289.0</v>
      </c>
      <c r="G23" s="9">
        <v>25.99</v>
      </c>
      <c r="H23" s="9">
        <v>0.0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7"/>
      <c r="B24" s="7"/>
      <c r="C24" s="5" t="s">
        <v>11</v>
      </c>
      <c r="D24" s="5" t="s">
        <v>12</v>
      </c>
      <c r="E24" s="5" t="s">
        <v>13</v>
      </c>
      <c r="F24" s="6">
        <v>556.0</v>
      </c>
      <c r="G24" s="6">
        <v>8.99</v>
      </c>
      <c r="H24" s="6">
        <v>0.0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10"/>
      <c r="B25" s="10"/>
      <c r="C25" s="8" t="s">
        <v>14</v>
      </c>
      <c r="D25" s="8" t="s">
        <v>15</v>
      </c>
      <c r="E25" s="8" t="s">
        <v>13</v>
      </c>
      <c r="F25" s="9">
        <v>145.0</v>
      </c>
      <c r="G25" s="9">
        <v>45.99</v>
      </c>
      <c r="H25" s="9">
        <v>0.0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3">
        <v>9.0</v>
      </c>
      <c r="B26" s="4">
        <v>45170.0</v>
      </c>
      <c r="C26" s="5" t="s">
        <v>8</v>
      </c>
      <c r="D26" s="5" t="s">
        <v>9</v>
      </c>
      <c r="E26" s="5" t="s">
        <v>10</v>
      </c>
      <c r="F26" s="6">
        <v>334.0</v>
      </c>
      <c r="G26" s="6">
        <v>25.99</v>
      </c>
      <c r="H26" s="6">
        <v>1.0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7"/>
      <c r="B27" s="7"/>
      <c r="C27" s="8" t="s">
        <v>11</v>
      </c>
      <c r="D27" s="8" t="s">
        <v>12</v>
      </c>
      <c r="E27" s="8" t="s">
        <v>13</v>
      </c>
      <c r="F27" s="9">
        <v>612.0</v>
      </c>
      <c r="G27" s="9">
        <v>8.99</v>
      </c>
      <c r="H27" s="9">
        <v>1.0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10"/>
      <c r="B28" s="10"/>
      <c r="C28" s="5" t="s">
        <v>14</v>
      </c>
      <c r="D28" s="5" t="s">
        <v>15</v>
      </c>
      <c r="E28" s="5" t="s">
        <v>13</v>
      </c>
      <c r="F28" s="6">
        <v>167.0</v>
      </c>
      <c r="G28" s="6">
        <v>45.99</v>
      </c>
      <c r="H28" s="6">
        <v>1.0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11">
        <v>10.0</v>
      </c>
      <c r="B29" s="12">
        <v>45200.0</v>
      </c>
      <c r="C29" s="8" t="s">
        <v>8</v>
      </c>
      <c r="D29" s="8" t="s">
        <v>9</v>
      </c>
      <c r="E29" s="8" t="s">
        <v>10</v>
      </c>
      <c r="F29" s="9">
        <v>356.0</v>
      </c>
      <c r="G29" s="9">
        <v>25.99</v>
      </c>
      <c r="H29" s="9">
        <v>0.0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7"/>
      <c r="B30" s="7"/>
      <c r="C30" s="5" t="s">
        <v>11</v>
      </c>
      <c r="D30" s="5" t="s">
        <v>12</v>
      </c>
      <c r="E30" s="5" t="s">
        <v>13</v>
      </c>
      <c r="F30" s="6">
        <v>634.0</v>
      </c>
      <c r="G30" s="6">
        <v>8.99</v>
      </c>
      <c r="H30" s="6">
        <v>0.0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10"/>
      <c r="B31" s="10"/>
      <c r="C31" s="8" t="s">
        <v>14</v>
      </c>
      <c r="D31" s="8" t="s">
        <v>15</v>
      </c>
      <c r="E31" s="8" t="s">
        <v>13</v>
      </c>
      <c r="F31" s="9">
        <v>178.0</v>
      </c>
      <c r="G31" s="9">
        <v>45.99</v>
      </c>
      <c r="H31" s="9">
        <v>0.0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3">
        <v>11.0</v>
      </c>
      <c r="B32" s="4">
        <v>45231.0</v>
      </c>
      <c r="C32" s="5" t="s">
        <v>8</v>
      </c>
      <c r="D32" s="5" t="s">
        <v>9</v>
      </c>
      <c r="E32" s="5" t="s">
        <v>10</v>
      </c>
      <c r="F32" s="6">
        <v>425.0</v>
      </c>
      <c r="G32" s="6">
        <v>25.99</v>
      </c>
      <c r="H32" s="6">
        <v>1.0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7"/>
      <c r="B33" s="7"/>
      <c r="C33" s="8" t="s">
        <v>11</v>
      </c>
      <c r="D33" s="8" t="s">
        <v>12</v>
      </c>
      <c r="E33" s="8" t="s">
        <v>13</v>
      </c>
      <c r="F33" s="9">
        <v>723.0</v>
      </c>
      <c r="G33" s="9">
        <v>8.99</v>
      </c>
      <c r="H33" s="9">
        <v>1.0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10"/>
      <c r="B34" s="10"/>
      <c r="C34" s="5" t="s">
        <v>14</v>
      </c>
      <c r="D34" s="5" t="s">
        <v>15</v>
      </c>
      <c r="E34" s="5" t="s">
        <v>13</v>
      </c>
      <c r="F34" s="6">
        <v>212.0</v>
      </c>
      <c r="G34" s="6">
        <v>45.99</v>
      </c>
      <c r="H34" s="6">
        <v>1.0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11">
        <v>12.0</v>
      </c>
      <c r="B35" s="12">
        <v>45261.0</v>
      </c>
      <c r="C35" s="8" t="s">
        <v>8</v>
      </c>
      <c r="D35" s="8" t="s">
        <v>9</v>
      </c>
      <c r="E35" s="8" t="s">
        <v>10</v>
      </c>
      <c r="F35" s="9">
        <v>478.0</v>
      </c>
      <c r="G35" s="9">
        <v>25.99</v>
      </c>
      <c r="H35" s="9">
        <v>1.0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7"/>
      <c r="B36" s="7"/>
      <c r="C36" s="5" t="s">
        <v>11</v>
      </c>
      <c r="D36" s="5" t="s">
        <v>12</v>
      </c>
      <c r="E36" s="5" t="s">
        <v>13</v>
      </c>
      <c r="F36" s="6">
        <v>798.0</v>
      </c>
      <c r="G36" s="6">
        <v>8.99</v>
      </c>
      <c r="H36" s="6">
        <v>1.0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10"/>
      <c r="B37" s="10"/>
      <c r="C37" s="8" t="s">
        <v>14</v>
      </c>
      <c r="D37" s="8" t="s">
        <v>15</v>
      </c>
      <c r="E37" s="8" t="s">
        <v>13</v>
      </c>
      <c r="F37" s="9">
        <v>245.0</v>
      </c>
      <c r="G37" s="9">
        <v>45.99</v>
      </c>
      <c r="H37" s="9">
        <v>1.0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3">
        <v>13.0</v>
      </c>
      <c r="B38" s="4">
        <v>45292.0</v>
      </c>
      <c r="C38" s="5" t="s">
        <v>8</v>
      </c>
      <c r="D38" s="5" t="s">
        <v>9</v>
      </c>
      <c r="E38" s="5" t="s">
        <v>10</v>
      </c>
      <c r="F38" s="6">
        <v>267.0</v>
      </c>
      <c r="G38" s="6">
        <v>26.99</v>
      </c>
      <c r="H38" s="6">
        <v>0.0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7"/>
      <c r="B39" s="7"/>
      <c r="C39" s="8" t="s">
        <v>11</v>
      </c>
      <c r="D39" s="8" t="s">
        <v>12</v>
      </c>
      <c r="E39" s="8" t="s">
        <v>13</v>
      </c>
      <c r="F39" s="9">
        <v>558.0</v>
      </c>
      <c r="G39" s="9">
        <v>9.49</v>
      </c>
      <c r="H39" s="9">
        <v>0.0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10"/>
      <c r="B40" s="10"/>
      <c r="C40" s="5" t="s">
        <v>14</v>
      </c>
      <c r="D40" s="5" t="s">
        <v>15</v>
      </c>
      <c r="E40" s="5" t="s">
        <v>13</v>
      </c>
      <c r="F40" s="6">
        <v>132.0</v>
      </c>
      <c r="G40" s="6">
        <v>47.99</v>
      </c>
      <c r="H40" s="6">
        <v>0.0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11">
        <v>14.0</v>
      </c>
      <c r="B41" s="12">
        <v>45323.0</v>
      </c>
      <c r="C41" s="8" t="s">
        <v>8</v>
      </c>
      <c r="D41" s="8" t="s">
        <v>9</v>
      </c>
      <c r="E41" s="8" t="s">
        <v>10</v>
      </c>
      <c r="F41" s="9">
        <v>285.0</v>
      </c>
      <c r="G41" s="9">
        <v>26.99</v>
      </c>
      <c r="H41" s="9">
        <v>0.0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7"/>
      <c r="B42" s="7"/>
      <c r="C42" s="5" t="s">
        <v>11</v>
      </c>
      <c r="D42" s="5" t="s">
        <v>12</v>
      </c>
      <c r="E42" s="5" t="s">
        <v>13</v>
      </c>
      <c r="F42" s="6">
        <v>572.0</v>
      </c>
      <c r="G42" s="6">
        <v>9.49</v>
      </c>
      <c r="H42" s="6">
        <v>0.0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10"/>
      <c r="B43" s="10"/>
      <c r="C43" s="8" t="s">
        <v>14</v>
      </c>
      <c r="D43" s="8" t="s">
        <v>15</v>
      </c>
      <c r="E43" s="8" t="s">
        <v>13</v>
      </c>
      <c r="F43" s="9">
        <v>145.0</v>
      </c>
      <c r="G43" s="9">
        <v>47.99</v>
      </c>
      <c r="H43" s="9">
        <v>0.0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3">
        <v>15.0</v>
      </c>
      <c r="B44" s="4">
        <v>45352.0</v>
      </c>
      <c r="C44" s="5" t="s">
        <v>8</v>
      </c>
      <c r="D44" s="5" t="s">
        <v>9</v>
      </c>
      <c r="E44" s="5" t="s">
        <v>10</v>
      </c>
      <c r="F44" s="6">
        <v>338.0</v>
      </c>
      <c r="G44" s="6">
        <v>26.99</v>
      </c>
      <c r="H44" s="6">
        <v>1.0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7"/>
      <c r="B45" s="7"/>
      <c r="C45" s="8" t="s">
        <v>11</v>
      </c>
      <c r="D45" s="8" t="s">
        <v>12</v>
      </c>
      <c r="E45" s="8" t="s">
        <v>13</v>
      </c>
      <c r="F45" s="9">
        <v>618.0</v>
      </c>
      <c r="G45" s="9">
        <v>9.49</v>
      </c>
      <c r="H45" s="9">
        <v>1.0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10"/>
      <c r="B46" s="10"/>
      <c r="C46" s="5" t="s">
        <v>14</v>
      </c>
      <c r="D46" s="5" t="s">
        <v>15</v>
      </c>
      <c r="E46" s="5" t="s">
        <v>13</v>
      </c>
      <c r="F46" s="6">
        <v>168.0</v>
      </c>
      <c r="G46" s="6">
        <v>47.99</v>
      </c>
      <c r="H46" s="6">
        <v>1.0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11">
        <v>16.0</v>
      </c>
      <c r="B47" s="12">
        <v>45383.0</v>
      </c>
      <c r="C47" s="8" t="s">
        <v>8</v>
      </c>
      <c r="D47" s="8" t="s">
        <v>9</v>
      </c>
      <c r="E47" s="8" t="s">
        <v>10</v>
      </c>
      <c r="F47" s="9">
        <v>305.0</v>
      </c>
      <c r="G47" s="9">
        <v>26.99</v>
      </c>
      <c r="H47" s="9">
        <v>0.0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7"/>
      <c r="B48" s="7"/>
      <c r="C48" s="5" t="s">
        <v>11</v>
      </c>
      <c r="D48" s="5" t="s">
        <v>12</v>
      </c>
      <c r="E48" s="5" t="s">
        <v>13</v>
      </c>
      <c r="F48" s="6">
        <v>573.0</v>
      </c>
      <c r="G48" s="6">
        <v>9.49</v>
      </c>
      <c r="H48" s="6">
        <v>0.0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10"/>
      <c r="B49" s="10"/>
      <c r="C49" s="8" t="s">
        <v>14</v>
      </c>
      <c r="D49" s="8" t="s">
        <v>15</v>
      </c>
      <c r="E49" s="8" t="s">
        <v>13</v>
      </c>
      <c r="F49" s="9">
        <v>153.0</v>
      </c>
      <c r="G49" s="9">
        <v>47.99</v>
      </c>
      <c r="H49" s="9">
        <v>0.0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3">
        <v>17.0</v>
      </c>
      <c r="B50" s="13">
        <v>45413.0</v>
      </c>
      <c r="C50" s="5" t="s">
        <v>8</v>
      </c>
      <c r="D50" s="5" t="s">
        <v>9</v>
      </c>
      <c r="E50" s="5" t="s">
        <v>10</v>
      </c>
      <c r="F50" s="6">
        <v>318.0</v>
      </c>
      <c r="G50" s="6">
        <v>26.99</v>
      </c>
      <c r="H50" s="6">
        <v>0.0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7"/>
      <c r="B51" s="7"/>
      <c r="C51" s="8" t="s">
        <v>11</v>
      </c>
      <c r="D51" s="8" t="s">
        <v>12</v>
      </c>
      <c r="E51" s="8" t="s">
        <v>13</v>
      </c>
      <c r="F51" s="9">
        <v>589.0</v>
      </c>
      <c r="G51" s="9">
        <v>9.49</v>
      </c>
      <c r="H51" s="9">
        <v>0.0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10"/>
      <c r="B52" s="10"/>
      <c r="C52" s="5" t="s">
        <v>14</v>
      </c>
      <c r="D52" s="5" t="s">
        <v>15</v>
      </c>
      <c r="E52" s="5" t="s">
        <v>13</v>
      </c>
      <c r="F52" s="6">
        <v>159.0</v>
      </c>
      <c r="G52" s="6">
        <v>47.99</v>
      </c>
      <c r="H52" s="6">
        <v>0.0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11">
        <v>18.0</v>
      </c>
      <c r="B53" s="12">
        <v>45444.0</v>
      </c>
      <c r="C53" s="8" t="s">
        <v>8</v>
      </c>
      <c r="D53" s="8" t="s">
        <v>9</v>
      </c>
      <c r="E53" s="8" t="s">
        <v>10</v>
      </c>
      <c r="F53" s="9">
        <v>295.0</v>
      </c>
      <c r="G53" s="9">
        <v>26.99</v>
      </c>
      <c r="H53" s="9">
        <v>0.0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7"/>
      <c r="B54" s="7"/>
      <c r="C54" s="5" t="s">
        <v>11</v>
      </c>
      <c r="D54" s="5" t="s">
        <v>12</v>
      </c>
      <c r="E54" s="5" t="s">
        <v>13</v>
      </c>
      <c r="F54" s="6">
        <v>561.0</v>
      </c>
      <c r="G54" s="6">
        <v>9.49</v>
      </c>
      <c r="H54" s="6">
        <v>0.0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10"/>
      <c r="B55" s="10"/>
      <c r="C55" s="8" t="s">
        <v>14</v>
      </c>
      <c r="D55" s="8" t="s">
        <v>15</v>
      </c>
      <c r="E55" s="8" t="s">
        <v>13</v>
      </c>
      <c r="F55" s="9">
        <v>147.0</v>
      </c>
      <c r="G55" s="9">
        <v>47.99</v>
      </c>
      <c r="H55" s="9">
        <v>0.0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3">
        <v>19.0</v>
      </c>
      <c r="B56" s="4">
        <v>45474.0</v>
      </c>
      <c r="C56" s="5" t="s">
        <v>8</v>
      </c>
      <c r="D56" s="5" t="s">
        <v>9</v>
      </c>
      <c r="E56" s="5" t="s">
        <v>10</v>
      </c>
      <c r="F56" s="6">
        <v>282.0</v>
      </c>
      <c r="G56" s="6">
        <v>26.99</v>
      </c>
      <c r="H56" s="6">
        <v>0.0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7"/>
      <c r="B57" s="7"/>
      <c r="C57" s="8" t="s">
        <v>11</v>
      </c>
      <c r="D57" s="8" t="s">
        <v>12</v>
      </c>
      <c r="E57" s="8" t="s">
        <v>13</v>
      </c>
      <c r="F57" s="9">
        <v>545.0</v>
      </c>
      <c r="G57" s="9">
        <v>9.49</v>
      </c>
      <c r="H57" s="9">
        <v>0.0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10"/>
      <c r="B58" s="10"/>
      <c r="C58" s="5" t="s">
        <v>14</v>
      </c>
      <c r="D58" s="5" t="s">
        <v>15</v>
      </c>
      <c r="E58" s="5" t="s">
        <v>13</v>
      </c>
      <c r="F58" s="6">
        <v>141.0</v>
      </c>
      <c r="G58" s="6">
        <v>47.99</v>
      </c>
      <c r="H58" s="6">
        <v>0.0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11">
        <v>20.0</v>
      </c>
      <c r="B59" s="12">
        <v>45505.0</v>
      </c>
      <c r="C59" s="8" t="s">
        <v>8</v>
      </c>
      <c r="D59" s="8" t="s">
        <v>9</v>
      </c>
      <c r="E59" s="8" t="s">
        <v>10</v>
      </c>
      <c r="F59" s="9">
        <v>308.0</v>
      </c>
      <c r="G59" s="9">
        <v>26.99</v>
      </c>
      <c r="H59" s="9">
        <v>0.0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7"/>
      <c r="B60" s="7"/>
      <c r="C60" s="5" t="s">
        <v>11</v>
      </c>
      <c r="D60" s="5" t="s">
        <v>12</v>
      </c>
      <c r="E60" s="5" t="s">
        <v>13</v>
      </c>
      <c r="F60" s="6">
        <v>584.0</v>
      </c>
      <c r="G60" s="6">
        <v>9.49</v>
      </c>
      <c r="H60" s="6">
        <v>0.0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10"/>
      <c r="B61" s="10"/>
      <c r="C61" s="8" t="s">
        <v>14</v>
      </c>
      <c r="D61" s="8" t="s">
        <v>15</v>
      </c>
      <c r="E61" s="8" t="s">
        <v>13</v>
      </c>
      <c r="F61" s="9">
        <v>156.0</v>
      </c>
      <c r="G61" s="9">
        <v>47.99</v>
      </c>
      <c r="H61" s="9">
        <v>0.0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3">
        <v>21.0</v>
      </c>
      <c r="B62" s="4">
        <v>45536.0</v>
      </c>
      <c r="C62" s="5" t="s">
        <v>8</v>
      </c>
      <c r="D62" s="5" t="s">
        <v>9</v>
      </c>
      <c r="E62" s="5" t="s">
        <v>10</v>
      </c>
      <c r="F62" s="6">
        <v>358.0</v>
      </c>
      <c r="G62" s="6">
        <v>26.99</v>
      </c>
      <c r="H62" s="6">
        <v>1.0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7"/>
      <c r="B63" s="7"/>
      <c r="C63" s="8" t="s">
        <v>11</v>
      </c>
      <c r="D63" s="8" t="s">
        <v>12</v>
      </c>
      <c r="E63" s="8" t="s">
        <v>13</v>
      </c>
      <c r="F63" s="9">
        <v>645.0</v>
      </c>
      <c r="G63" s="9">
        <v>9.49</v>
      </c>
      <c r="H63" s="9">
        <v>1.0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10"/>
      <c r="B64" s="10"/>
      <c r="C64" s="5" t="s">
        <v>14</v>
      </c>
      <c r="D64" s="5" t="s">
        <v>15</v>
      </c>
      <c r="E64" s="5" t="s">
        <v>13</v>
      </c>
      <c r="F64" s="6">
        <v>179.0</v>
      </c>
      <c r="G64" s="6">
        <v>47.99</v>
      </c>
      <c r="H64" s="6">
        <v>1.0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11">
        <v>22.0</v>
      </c>
      <c r="B65" s="12">
        <v>45566.0</v>
      </c>
      <c r="C65" s="8" t="s">
        <v>8</v>
      </c>
      <c r="D65" s="8" t="s">
        <v>9</v>
      </c>
      <c r="E65" s="8" t="s">
        <v>10</v>
      </c>
      <c r="F65" s="9">
        <v>382.0</v>
      </c>
      <c r="G65" s="9">
        <v>26.99</v>
      </c>
      <c r="H65" s="9">
        <v>0.0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7"/>
      <c r="B66" s="7"/>
      <c r="C66" s="5" t="s">
        <v>11</v>
      </c>
      <c r="D66" s="5" t="s">
        <v>12</v>
      </c>
      <c r="E66" s="5" t="s">
        <v>13</v>
      </c>
      <c r="F66" s="6">
        <v>668.0</v>
      </c>
      <c r="G66" s="6">
        <v>9.49</v>
      </c>
      <c r="H66" s="6">
        <v>0.0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10"/>
      <c r="B67" s="10"/>
      <c r="C67" s="8" t="s">
        <v>14</v>
      </c>
      <c r="D67" s="8" t="s">
        <v>15</v>
      </c>
      <c r="E67" s="8" t="s">
        <v>13</v>
      </c>
      <c r="F67" s="9">
        <v>192.0</v>
      </c>
      <c r="G67" s="9">
        <v>47.99</v>
      </c>
      <c r="H67" s="9">
        <v>0.0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3">
        <v>23.0</v>
      </c>
      <c r="B68" s="4">
        <v>45597.0</v>
      </c>
      <c r="C68" s="5" t="s">
        <v>8</v>
      </c>
      <c r="D68" s="5" t="s">
        <v>9</v>
      </c>
      <c r="E68" s="5" t="s">
        <v>10</v>
      </c>
      <c r="F68" s="6">
        <v>456.0</v>
      </c>
      <c r="G68" s="6">
        <v>26.99</v>
      </c>
      <c r="H68" s="6">
        <v>1.0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7"/>
      <c r="B69" s="7"/>
      <c r="C69" s="8" t="s">
        <v>11</v>
      </c>
      <c r="D69" s="8" t="s">
        <v>12</v>
      </c>
      <c r="E69" s="8" t="s">
        <v>13</v>
      </c>
      <c r="F69" s="9">
        <v>762.0</v>
      </c>
      <c r="G69" s="9">
        <v>9.49</v>
      </c>
      <c r="H69" s="9">
        <v>1.0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10"/>
      <c r="B70" s="10"/>
      <c r="C70" s="5" t="s">
        <v>14</v>
      </c>
      <c r="D70" s="5" t="s">
        <v>15</v>
      </c>
      <c r="E70" s="5" t="s">
        <v>13</v>
      </c>
      <c r="F70" s="6">
        <v>228.0</v>
      </c>
      <c r="G70" s="6">
        <v>47.99</v>
      </c>
      <c r="H70" s="6">
        <v>1.0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11">
        <v>24.0</v>
      </c>
      <c r="B71" s="12">
        <v>45627.0</v>
      </c>
      <c r="C71" s="8" t="s">
        <v>8</v>
      </c>
      <c r="D71" s="8" t="s">
        <v>9</v>
      </c>
      <c r="E71" s="8" t="s">
        <v>10</v>
      </c>
      <c r="F71" s="9">
        <v>512.0</v>
      </c>
      <c r="G71" s="9">
        <v>26.99</v>
      </c>
      <c r="H71" s="9">
        <v>1.0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7"/>
      <c r="B72" s="7"/>
      <c r="C72" s="5" t="s">
        <v>11</v>
      </c>
      <c r="D72" s="5" t="s">
        <v>12</v>
      </c>
      <c r="E72" s="5" t="s">
        <v>13</v>
      </c>
      <c r="F72" s="6">
        <v>834.0</v>
      </c>
      <c r="G72" s="6">
        <v>9.49</v>
      </c>
      <c r="H72" s="6">
        <v>1.0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10"/>
      <c r="B73" s="10"/>
      <c r="C73" s="8" t="s">
        <v>14</v>
      </c>
      <c r="D73" s="8" t="s">
        <v>15</v>
      </c>
      <c r="E73" s="8" t="s">
        <v>13</v>
      </c>
      <c r="F73" s="9">
        <v>263.0</v>
      </c>
      <c r="G73" s="9">
        <v>47.99</v>
      </c>
      <c r="H73" s="9">
        <v>1.0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hidden="1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hidden="1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hidden="1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hidden="1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hidden="1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hidden="1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hidden="1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hidden="1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hidden="1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hidden="1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hidden="1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hidden="1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hidden="1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hidden="1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hidden="1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hidden="1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hidden="1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hidden="1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hidden="1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hidden="1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hidden="1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hidden="1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hidden="1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hidden="1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hidden="1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hidden="1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hidden="1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hidden="1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hidden="1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hidden="1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hidden="1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hidden="1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hidden="1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hidden="1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hidden="1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hidden="1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hidden="1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hidden="1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hidden="1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hidden="1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hidden="1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hidden="1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hidden="1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hidden="1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hidden="1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hidden="1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hidden="1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hidden="1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hidden="1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hidden="1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hidden="1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hidden="1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hidden="1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hidden="1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hidden="1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hidden="1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hidden="1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hidden="1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hidden="1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hidden="1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hidden="1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hidden="1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hidden="1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hidden="1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hidden="1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hidden="1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hidden="1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hidden="1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hidden="1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hidden="1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hidden="1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hidden="1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hidden="1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hidden="1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hidden="1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hidden="1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hidden="1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hidden="1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hidden="1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hidden="1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hidden="1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hidden="1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hidden="1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hidden="1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hidden="1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hidden="1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hidden="1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hidden="1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hidden="1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hidden="1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hidden="1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hidden="1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hidden="1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hidden="1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hidden="1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hidden="1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hidden="1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hidden="1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hidden="1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hidden="1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hidden="1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hidden="1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hidden="1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hidden="1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hidden="1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hidden="1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hidden="1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hidden="1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hidden="1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hidden="1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hidden="1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hidden="1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hidden="1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hidden="1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hidden="1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hidden="1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hidden="1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hidden="1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hidden="1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hidden="1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hidden="1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hidden="1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hidden="1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hidden="1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hidden="1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hidden="1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hidden="1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hidden="1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hidden="1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hidden="1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hidden="1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hidden="1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hidden="1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hidden="1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hidden="1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hidden="1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hidden="1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hidden="1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hidden="1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hidden="1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hidden="1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hidden="1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hidden="1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hidden="1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hidden="1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hidden="1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hidden="1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hidden="1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hidden="1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hidden="1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hidden="1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hidden="1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hidden="1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hidden="1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hidden="1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hidden="1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hidden="1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hidden="1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hidden="1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hidden="1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hidden="1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hidden="1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hidden="1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hidden="1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hidden="1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hidden="1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hidden="1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hidden="1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hidden="1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hidden="1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hidden="1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hidden="1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hidden="1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hidden="1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hidden="1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hidden="1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hidden="1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hidden="1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hidden="1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hidden="1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hidden="1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hidden="1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hidden="1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hidden="1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hidden="1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hidden="1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hidden="1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hidden="1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hidden="1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hidden="1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hidden="1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hidden="1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hidden="1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hidden="1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hidden="1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hidden="1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hidden="1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hidden="1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hidden="1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hidden="1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mergeCells count="48">
    <mergeCell ref="A2:A4"/>
    <mergeCell ref="B2:B4"/>
    <mergeCell ref="A5:A7"/>
    <mergeCell ref="B5:B7"/>
    <mergeCell ref="A8:A10"/>
    <mergeCell ref="B8:B10"/>
    <mergeCell ref="B11:B13"/>
    <mergeCell ref="A11:A13"/>
    <mergeCell ref="A14:A16"/>
    <mergeCell ref="A17:A19"/>
    <mergeCell ref="A20:A22"/>
    <mergeCell ref="A23:A25"/>
    <mergeCell ref="A26:A28"/>
    <mergeCell ref="A29:A31"/>
    <mergeCell ref="B14:B16"/>
    <mergeCell ref="B17:B19"/>
    <mergeCell ref="B20:B22"/>
    <mergeCell ref="B23:B25"/>
    <mergeCell ref="B26:B28"/>
    <mergeCell ref="B29:B31"/>
    <mergeCell ref="B32:B34"/>
    <mergeCell ref="A53:A55"/>
    <mergeCell ref="A56:A58"/>
    <mergeCell ref="A59:A61"/>
    <mergeCell ref="A62:A64"/>
    <mergeCell ref="A65:A67"/>
    <mergeCell ref="A68:A70"/>
    <mergeCell ref="A71:A73"/>
    <mergeCell ref="A32:A34"/>
    <mergeCell ref="A35:A37"/>
    <mergeCell ref="A38:A40"/>
    <mergeCell ref="A41:A43"/>
    <mergeCell ref="A44:A46"/>
    <mergeCell ref="A47:A49"/>
    <mergeCell ref="A50:A52"/>
    <mergeCell ref="B56:B58"/>
    <mergeCell ref="B59:B61"/>
    <mergeCell ref="B62:B64"/>
    <mergeCell ref="B65:B67"/>
    <mergeCell ref="B68:B70"/>
    <mergeCell ref="B71:B73"/>
    <mergeCell ref="B35:B37"/>
    <mergeCell ref="B38:B40"/>
    <mergeCell ref="B41:B43"/>
    <mergeCell ref="B44:B46"/>
    <mergeCell ref="B47:B49"/>
    <mergeCell ref="B50:B52"/>
    <mergeCell ref="B53:B55"/>
  </mergeCells>
  <conditionalFormatting sqref="C2:C73">
    <cfRule type="containsText" dxfId="0" priority="1" operator="containsText" text="SKU001">
      <formula>NOT(ISERROR(SEARCH(("SKU001"),(C2))))</formula>
    </cfRule>
  </conditionalFormatting>
  <conditionalFormatting sqref="C2:C73">
    <cfRule type="containsText" dxfId="1" priority="2" operator="containsText" text="SKU002">
      <formula>NOT(ISERROR(SEARCH(("SKU002"),(C2))))</formula>
    </cfRule>
  </conditionalFormatting>
  <conditionalFormatting sqref="C2:C73">
    <cfRule type="containsText" dxfId="2" priority="3" operator="containsText" text="SKU003">
      <formula>NOT(ISERROR(SEARCH(("SKU003"),(C2))))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2" width="12.63"/>
    <col customWidth="1" min="3" max="23" width="19.0"/>
    <col customWidth="1" hidden="1" min="24" max="25" width="19.0"/>
    <col customWidth="1" hidden="1" min="26" max="26" width="12.63"/>
  </cols>
  <sheetData>
    <row r="1" ht="15.75" customHeight="1">
      <c r="A1" s="15" t="s">
        <v>0</v>
      </c>
      <c r="B1" s="15" t="s">
        <v>1</v>
      </c>
      <c r="C1" s="15" t="s">
        <v>16</v>
      </c>
      <c r="D1" s="15" t="s">
        <v>17</v>
      </c>
      <c r="E1" s="15" t="s">
        <v>18</v>
      </c>
      <c r="F1" s="15" t="s">
        <v>19</v>
      </c>
      <c r="G1" s="15" t="s">
        <v>20</v>
      </c>
      <c r="H1" s="15" t="s">
        <v>21</v>
      </c>
      <c r="I1" s="15" t="s">
        <v>22</v>
      </c>
      <c r="J1" s="15" t="s">
        <v>23</v>
      </c>
      <c r="K1" s="15" t="s">
        <v>24</v>
      </c>
      <c r="L1" s="15" t="s">
        <v>25</v>
      </c>
      <c r="M1" s="15" t="s">
        <v>26</v>
      </c>
      <c r="N1" s="15" t="s">
        <v>27</v>
      </c>
      <c r="O1" s="15" t="s">
        <v>28</v>
      </c>
      <c r="P1" s="15" t="s">
        <v>29</v>
      </c>
      <c r="Q1" s="15" t="s">
        <v>30</v>
      </c>
      <c r="R1" s="15" t="s">
        <v>31</v>
      </c>
      <c r="S1" s="15" t="s">
        <v>32</v>
      </c>
      <c r="T1" s="15" t="s">
        <v>33</v>
      </c>
      <c r="U1" s="15" t="s">
        <v>34</v>
      </c>
      <c r="V1" s="15" t="s">
        <v>35</v>
      </c>
      <c r="W1" s="15" t="s">
        <v>36</v>
      </c>
      <c r="X1" s="16"/>
      <c r="Y1" s="16"/>
      <c r="Z1" s="16"/>
    </row>
    <row r="2" ht="15.75" customHeight="1">
      <c r="A2" s="17">
        <v>1.0</v>
      </c>
      <c r="B2" s="18">
        <v>44927.0</v>
      </c>
      <c r="C2" s="19">
        <v>245.0</v>
      </c>
      <c r="D2" s="19"/>
      <c r="E2" s="19"/>
      <c r="F2" s="19"/>
      <c r="G2" s="19">
        <f>C2</f>
        <v>245</v>
      </c>
      <c r="H2" s="19">
        <f t="shared" ref="H2:H25" si="1">FORECAST(A2,$C$2:$C$24,$A$2:$A$24)</f>
        <v>278.3586957</v>
      </c>
      <c r="I2" s="19" t="str">
        <f t="shared" ref="I2:I25" si="2">INDEX(D2:H2,MATCH(MIN(ABS(C2-D2),ABS(C2-E2),ABS(C2-F2),ABS(C2-G2),ABS(C2-H2),ABS(C2-D2:H2)),0))</f>
        <v/>
      </c>
      <c r="J2" s="19">
        <v>532.0</v>
      </c>
      <c r="K2" s="19"/>
      <c r="L2" s="19"/>
      <c r="M2" s="19"/>
      <c r="N2" s="19">
        <f>J2</f>
        <v>532</v>
      </c>
      <c r="O2" s="19">
        <f t="shared" ref="O2:O25" si="3">FORECAST(A2,$J$2:$J$24,$A$2:$A$24)</f>
        <v>550.4891304</v>
      </c>
      <c r="P2" s="19" t="str">
        <f t="shared" ref="P2:P25" si="4">INDEX(K2:O2,MATCH(MIN(ABS(J2-K2),ABS(J2-L2),ABS(J2-M2),ABS(J2-N2),ABS(J2-O2),ABS(J2-K2:O2)),0))</f>
        <v/>
      </c>
      <c r="Q2" s="19">
        <v>123.0</v>
      </c>
      <c r="R2" s="19"/>
      <c r="S2" s="19"/>
      <c r="T2" s="19"/>
      <c r="U2" s="19">
        <f>Q2</f>
        <v>123</v>
      </c>
      <c r="V2" s="19">
        <f t="shared" ref="V2:V25" si="5">FORECAST(A2,$Q$2:$Q$24,$A$2:$A$24)</f>
        <v>139</v>
      </c>
      <c r="W2" s="19" t="str">
        <f t="shared" ref="W2:W25" si="6">INDEX(R2:V2,MATCH(MIN(ABS(Q2-R2),ABS(Q2-S2),ABS(Q2-T2),ABS(Q2-U2),ABS(Q2-V2),ABS(Q2-R2:V2)),0))</f>
        <v/>
      </c>
      <c r="X2" s="20"/>
      <c r="Y2" s="20"/>
      <c r="Z2" s="20"/>
    </row>
    <row r="3" ht="15.75" customHeight="1">
      <c r="A3" s="17">
        <v>2.0</v>
      </c>
      <c r="B3" s="18">
        <v>44958.0</v>
      </c>
      <c r="C3" s="19">
        <v>268.0</v>
      </c>
      <c r="D3" s="19"/>
      <c r="E3" s="19"/>
      <c r="F3" s="19"/>
      <c r="G3" s="19">
        <f>B28*C3+(1-B28)*G2</f>
        <v>251.9</v>
      </c>
      <c r="H3" s="19">
        <f t="shared" si="1"/>
        <v>282.4051383</v>
      </c>
      <c r="I3" s="19" t="str">
        <f t="shared" si="2"/>
        <v/>
      </c>
      <c r="J3" s="19">
        <v>548.0</v>
      </c>
      <c r="K3" s="19"/>
      <c r="L3" s="19"/>
      <c r="M3" s="19"/>
      <c r="N3" s="19">
        <f t="shared" ref="N3:N25" si="7">$B$28*J3+(1-$B$28)*N2</f>
        <v>536.8</v>
      </c>
      <c r="O3" s="19">
        <f t="shared" si="3"/>
        <v>555.1245059</v>
      </c>
      <c r="P3" s="19" t="str">
        <f t="shared" si="4"/>
        <v/>
      </c>
      <c r="Q3" s="19">
        <v>134.0</v>
      </c>
      <c r="R3" s="19"/>
      <c r="S3" s="19"/>
      <c r="T3" s="19"/>
      <c r="U3" s="19">
        <f t="shared" ref="U3:U25" si="8">$B$28*Q3+(1-$B$28)*U2</f>
        <v>126.3</v>
      </c>
      <c r="V3" s="19">
        <f t="shared" si="5"/>
        <v>141.0632411</v>
      </c>
      <c r="W3" s="19" t="str">
        <f t="shared" si="6"/>
        <v/>
      </c>
      <c r="X3" s="20"/>
      <c r="Y3" s="20"/>
      <c r="Z3" s="20"/>
    </row>
    <row r="4" ht="15.75" customHeight="1">
      <c r="A4" s="17">
        <v>3.0</v>
      </c>
      <c r="B4" s="18">
        <v>44986.0</v>
      </c>
      <c r="C4" s="19">
        <v>312.0</v>
      </c>
      <c r="D4" s="19"/>
      <c r="E4" s="19"/>
      <c r="F4" s="19"/>
      <c r="G4" s="19">
        <f t="shared" ref="G4:G25" si="9">$B$28*C4+(1-$B$28)*G3</f>
        <v>269.93</v>
      </c>
      <c r="H4" s="19">
        <f t="shared" si="1"/>
        <v>286.451581</v>
      </c>
      <c r="I4" s="19" t="str">
        <f t="shared" si="2"/>
        <v/>
      </c>
      <c r="J4" s="19">
        <v>589.0</v>
      </c>
      <c r="K4" s="19"/>
      <c r="L4" s="19"/>
      <c r="M4" s="19"/>
      <c r="N4" s="19">
        <f t="shared" si="7"/>
        <v>552.46</v>
      </c>
      <c r="O4" s="19">
        <f t="shared" si="3"/>
        <v>559.7598814</v>
      </c>
      <c r="P4" s="19" t="str">
        <f t="shared" si="4"/>
        <v/>
      </c>
      <c r="Q4" s="19">
        <v>156.0</v>
      </c>
      <c r="R4" s="19"/>
      <c r="S4" s="19"/>
      <c r="T4" s="19"/>
      <c r="U4" s="19">
        <f t="shared" si="8"/>
        <v>135.21</v>
      </c>
      <c r="V4" s="19">
        <f t="shared" si="5"/>
        <v>143.1264822</v>
      </c>
      <c r="W4" s="19" t="str">
        <f t="shared" si="6"/>
        <v/>
      </c>
      <c r="X4" s="20"/>
      <c r="Y4" s="20"/>
      <c r="Z4" s="20"/>
    </row>
    <row r="5" ht="15.75" customHeight="1">
      <c r="A5" s="17">
        <v>4.0</v>
      </c>
      <c r="B5" s="18">
        <v>45017.0</v>
      </c>
      <c r="C5" s="19">
        <v>287.0</v>
      </c>
      <c r="D5" s="19">
        <f t="shared" ref="D5:D25" si="10">AVERAGE(C2:C4)</f>
        <v>275</v>
      </c>
      <c r="E5" s="19"/>
      <c r="F5" s="19">
        <f t="shared" ref="F5:F25" si="11">(C4*0.5)+(C3*0.3)+(C2*0.2)</f>
        <v>285.4</v>
      </c>
      <c r="G5" s="19">
        <f t="shared" si="9"/>
        <v>275.051</v>
      </c>
      <c r="H5" s="19">
        <f t="shared" si="1"/>
        <v>290.4980237</v>
      </c>
      <c r="I5" s="19">
        <f t="shared" si="2"/>
        <v>275</v>
      </c>
      <c r="J5" s="19">
        <v>545.0</v>
      </c>
      <c r="K5" s="19">
        <f t="shared" ref="K5:K25" si="12">AVERAGE(J2:J4)</f>
        <v>556.3333333</v>
      </c>
      <c r="L5" s="19"/>
      <c r="M5" s="19">
        <f t="shared" ref="M5:M25" si="13">(J4*0.5)+(J3*0.3)+(J2*0.2)</f>
        <v>565.3</v>
      </c>
      <c r="N5" s="19">
        <f t="shared" si="7"/>
        <v>550.222</v>
      </c>
      <c r="O5" s="19">
        <f t="shared" si="3"/>
        <v>564.3952569</v>
      </c>
      <c r="P5" s="19">
        <f t="shared" si="4"/>
        <v>556.3333333</v>
      </c>
      <c r="Q5" s="19">
        <v>142.0</v>
      </c>
      <c r="R5" s="19">
        <f t="shared" ref="R5:R25" si="14">AVERAGE(Q2:Q4)</f>
        <v>137.6666667</v>
      </c>
      <c r="S5" s="19"/>
      <c r="T5" s="19">
        <f t="shared" ref="T5:T25" si="15">(Q4*0.5)+(Q3*0.3)+(Q2*0.2)</f>
        <v>142.8</v>
      </c>
      <c r="U5" s="19">
        <f t="shared" si="8"/>
        <v>137.247</v>
      </c>
      <c r="V5" s="19">
        <f t="shared" si="5"/>
        <v>145.1897233</v>
      </c>
      <c r="W5" s="19">
        <f t="shared" si="6"/>
        <v>137.6666667</v>
      </c>
      <c r="X5" s="20"/>
      <c r="Y5" s="20"/>
      <c r="Z5" s="20"/>
    </row>
    <row r="6" ht="15.75" customHeight="1">
      <c r="A6" s="17">
        <v>5.0</v>
      </c>
      <c r="B6" s="18">
        <v>45047.0</v>
      </c>
      <c r="C6" s="19">
        <v>295.0</v>
      </c>
      <c r="D6" s="19">
        <f t="shared" si="10"/>
        <v>289</v>
      </c>
      <c r="E6" s="19"/>
      <c r="F6" s="19">
        <f t="shared" si="11"/>
        <v>290.7</v>
      </c>
      <c r="G6" s="19">
        <f t="shared" si="9"/>
        <v>281.0357</v>
      </c>
      <c r="H6" s="19">
        <f t="shared" si="1"/>
        <v>294.5444664</v>
      </c>
      <c r="I6" s="19">
        <f t="shared" si="2"/>
        <v>289</v>
      </c>
      <c r="J6" s="19">
        <v>567.0</v>
      </c>
      <c r="K6" s="19">
        <f t="shared" si="12"/>
        <v>560.6666667</v>
      </c>
      <c r="L6" s="19"/>
      <c r="M6" s="19">
        <f t="shared" si="13"/>
        <v>558.8</v>
      </c>
      <c r="N6" s="19">
        <f t="shared" si="7"/>
        <v>555.2554</v>
      </c>
      <c r="O6" s="19">
        <f t="shared" si="3"/>
        <v>569.0306324</v>
      </c>
      <c r="P6" s="19">
        <f t="shared" si="4"/>
        <v>560.6666667</v>
      </c>
      <c r="Q6" s="19">
        <v>148.0</v>
      </c>
      <c r="R6" s="19">
        <f t="shared" si="14"/>
        <v>144</v>
      </c>
      <c r="S6" s="19"/>
      <c r="T6" s="19">
        <f t="shared" si="15"/>
        <v>144.6</v>
      </c>
      <c r="U6" s="19">
        <f t="shared" si="8"/>
        <v>140.4729</v>
      </c>
      <c r="V6" s="19">
        <f t="shared" si="5"/>
        <v>147.2529644</v>
      </c>
      <c r="W6" s="19">
        <f t="shared" si="6"/>
        <v>144</v>
      </c>
      <c r="X6" s="20"/>
      <c r="Y6" s="20"/>
      <c r="Z6" s="20"/>
    </row>
    <row r="7" ht="15.75" customHeight="1">
      <c r="A7" s="17">
        <v>6.0</v>
      </c>
      <c r="B7" s="18">
        <v>45078.0</v>
      </c>
      <c r="C7" s="19">
        <v>278.0</v>
      </c>
      <c r="D7" s="19">
        <f t="shared" si="10"/>
        <v>298</v>
      </c>
      <c r="E7" s="19"/>
      <c r="F7" s="19">
        <f t="shared" si="11"/>
        <v>296</v>
      </c>
      <c r="G7" s="19">
        <f t="shared" si="9"/>
        <v>280.12499</v>
      </c>
      <c r="H7" s="19">
        <f t="shared" si="1"/>
        <v>298.5909091</v>
      </c>
      <c r="I7" s="19">
        <f t="shared" si="2"/>
        <v>298</v>
      </c>
      <c r="J7" s="19">
        <v>534.0</v>
      </c>
      <c r="K7" s="19">
        <f t="shared" si="12"/>
        <v>567</v>
      </c>
      <c r="L7" s="19"/>
      <c r="M7" s="19">
        <f t="shared" si="13"/>
        <v>564.8</v>
      </c>
      <c r="N7" s="19">
        <f t="shared" si="7"/>
        <v>548.87878</v>
      </c>
      <c r="O7" s="19">
        <f t="shared" si="3"/>
        <v>573.6660079</v>
      </c>
      <c r="P7" s="19">
        <f t="shared" si="4"/>
        <v>567</v>
      </c>
      <c r="Q7" s="19">
        <v>138.0</v>
      </c>
      <c r="R7" s="19">
        <f t="shared" si="14"/>
        <v>148.6666667</v>
      </c>
      <c r="S7" s="19"/>
      <c r="T7" s="19">
        <f t="shared" si="15"/>
        <v>147.8</v>
      </c>
      <c r="U7" s="19">
        <f t="shared" si="8"/>
        <v>139.73103</v>
      </c>
      <c r="V7" s="19">
        <f t="shared" si="5"/>
        <v>149.3162055</v>
      </c>
      <c r="W7" s="19">
        <f t="shared" si="6"/>
        <v>148.6666667</v>
      </c>
      <c r="X7" s="20"/>
      <c r="Y7" s="20"/>
      <c r="Z7" s="20"/>
    </row>
    <row r="8" ht="15.75" customHeight="1">
      <c r="A8" s="17">
        <v>7.0</v>
      </c>
      <c r="B8" s="18">
        <v>45108.0</v>
      </c>
      <c r="C8" s="19">
        <v>265.0</v>
      </c>
      <c r="D8" s="19">
        <f t="shared" si="10"/>
        <v>286.6666667</v>
      </c>
      <c r="E8" s="19">
        <f t="shared" ref="E8:E25" si="16">AVERAGE(C2:C7)</f>
        <v>280.8333333</v>
      </c>
      <c r="F8" s="19">
        <f t="shared" si="11"/>
        <v>284.9</v>
      </c>
      <c r="G8" s="19">
        <f t="shared" si="9"/>
        <v>275.587493</v>
      </c>
      <c r="H8" s="19">
        <f t="shared" si="1"/>
        <v>302.6373518</v>
      </c>
      <c r="I8" s="19">
        <f t="shared" si="2"/>
        <v>286.6666667</v>
      </c>
      <c r="J8" s="19">
        <v>521.0</v>
      </c>
      <c r="K8" s="19">
        <f t="shared" si="12"/>
        <v>548.6666667</v>
      </c>
      <c r="L8" s="19">
        <f t="shared" ref="L8:L25" si="17">AVERAGE(J2:J7)</f>
        <v>552.5</v>
      </c>
      <c r="M8" s="19">
        <f t="shared" si="13"/>
        <v>546.1</v>
      </c>
      <c r="N8" s="19">
        <f t="shared" si="7"/>
        <v>540.515146</v>
      </c>
      <c r="O8" s="19">
        <f t="shared" si="3"/>
        <v>578.3013834</v>
      </c>
      <c r="P8" s="19">
        <f t="shared" si="4"/>
        <v>548.6666667</v>
      </c>
      <c r="Q8" s="19">
        <v>131.0</v>
      </c>
      <c r="R8" s="19">
        <f t="shared" si="14"/>
        <v>142.6666667</v>
      </c>
      <c r="S8" s="19">
        <f t="shared" ref="S8:S25" si="18">AVERAGE(Q2:Q7)</f>
        <v>140.1666667</v>
      </c>
      <c r="T8" s="19">
        <f t="shared" si="15"/>
        <v>141.8</v>
      </c>
      <c r="U8" s="19">
        <f t="shared" si="8"/>
        <v>137.111721</v>
      </c>
      <c r="V8" s="19">
        <f t="shared" si="5"/>
        <v>151.3794466</v>
      </c>
      <c r="W8" s="19">
        <f t="shared" si="6"/>
        <v>142.6666667</v>
      </c>
      <c r="X8" s="20"/>
      <c r="Y8" s="20"/>
      <c r="Z8" s="20"/>
    </row>
    <row r="9" ht="15.75" customHeight="1">
      <c r="A9" s="17">
        <v>8.0</v>
      </c>
      <c r="B9" s="18">
        <v>45139.0</v>
      </c>
      <c r="C9" s="19">
        <v>289.0</v>
      </c>
      <c r="D9" s="19">
        <f t="shared" si="10"/>
        <v>279.3333333</v>
      </c>
      <c r="E9" s="19">
        <f t="shared" si="16"/>
        <v>284.1666667</v>
      </c>
      <c r="F9" s="19">
        <f t="shared" si="11"/>
        <v>274.9</v>
      </c>
      <c r="G9" s="19">
        <f t="shared" si="9"/>
        <v>279.6112451</v>
      </c>
      <c r="H9" s="19">
        <f t="shared" si="1"/>
        <v>306.6837945</v>
      </c>
      <c r="I9" s="19">
        <f t="shared" si="2"/>
        <v>279.3333333</v>
      </c>
      <c r="J9" s="19">
        <v>556.0</v>
      </c>
      <c r="K9" s="19">
        <f t="shared" si="12"/>
        <v>540.6666667</v>
      </c>
      <c r="L9" s="19">
        <f t="shared" si="17"/>
        <v>550.6666667</v>
      </c>
      <c r="M9" s="19">
        <f t="shared" si="13"/>
        <v>534.1</v>
      </c>
      <c r="N9" s="19">
        <f t="shared" si="7"/>
        <v>545.1606022</v>
      </c>
      <c r="O9" s="19">
        <f t="shared" si="3"/>
        <v>582.9367589</v>
      </c>
      <c r="P9" s="19">
        <f t="shared" si="4"/>
        <v>540.6666667</v>
      </c>
      <c r="Q9" s="19">
        <v>145.0</v>
      </c>
      <c r="R9" s="19">
        <f t="shared" si="14"/>
        <v>139</v>
      </c>
      <c r="S9" s="19">
        <f t="shared" si="18"/>
        <v>141.5</v>
      </c>
      <c r="T9" s="19">
        <f t="shared" si="15"/>
        <v>136.5</v>
      </c>
      <c r="U9" s="19">
        <f t="shared" si="8"/>
        <v>139.4782047</v>
      </c>
      <c r="V9" s="19">
        <f t="shared" si="5"/>
        <v>153.4426877</v>
      </c>
      <c r="W9" s="19">
        <f t="shared" si="6"/>
        <v>139</v>
      </c>
      <c r="X9" s="20"/>
      <c r="Y9" s="20"/>
      <c r="Z9" s="20"/>
    </row>
    <row r="10" ht="15.75" customHeight="1">
      <c r="A10" s="17">
        <v>9.0</v>
      </c>
      <c r="B10" s="18">
        <v>45170.0</v>
      </c>
      <c r="C10" s="19">
        <v>334.0</v>
      </c>
      <c r="D10" s="19">
        <f t="shared" si="10"/>
        <v>277.3333333</v>
      </c>
      <c r="E10" s="19">
        <f t="shared" si="16"/>
        <v>287.6666667</v>
      </c>
      <c r="F10" s="19">
        <f t="shared" si="11"/>
        <v>279.6</v>
      </c>
      <c r="G10" s="19">
        <f t="shared" si="9"/>
        <v>295.9278716</v>
      </c>
      <c r="H10" s="19">
        <f t="shared" si="1"/>
        <v>310.7302372</v>
      </c>
      <c r="I10" s="19">
        <f t="shared" si="2"/>
        <v>277.3333333</v>
      </c>
      <c r="J10" s="19">
        <v>612.0</v>
      </c>
      <c r="K10" s="19">
        <f t="shared" si="12"/>
        <v>537</v>
      </c>
      <c r="L10" s="19">
        <f t="shared" si="17"/>
        <v>552</v>
      </c>
      <c r="M10" s="19">
        <f t="shared" si="13"/>
        <v>541.1</v>
      </c>
      <c r="N10" s="19">
        <f t="shared" si="7"/>
        <v>565.2124215</v>
      </c>
      <c r="O10" s="19">
        <f t="shared" si="3"/>
        <v>587.5721344</v>
      </c>
      <c r="P10" s="19">
        <f t="shared" si="4"/>
        <v>537</v>
      </c>
      <c r="Q10" s="19">
        <v>167.0</v>
      </c>
      <c r="R10" s="19">
        <f t="shared" si="14"/>
        <v>138</v>
      </c>
      <c r="S10" s="19">
        <f t="shared" si="18"/>
        <v>143.3333333</v>
      </c>
      <c r="T10" s="19">
        <f t="shared" si="15"/>
        <v>139.4</v>
      </c>
      <c r="U10" s="19">
        <f t="shared" si="8"/>
        <v>147.7347433</v>
      </c>
      <c r="V10" s="19">
        <f t="shared" si="5"/>
        <v>155.5059289</v>
      </c>
      <c r="W10" s="19">
        <f t="shared" si="6"/>
        <v>138</v>
      </c>
      <c r="X10" s="20"/>
      <c r="Y10" s="20"/>
      <c r="Z10" s="20"/>
    </row>
    <row r="11" ht="15.75" customHeight="1">
      <c r="A11" s="17">
        <v>10.0</v>
      </c>
      <c r="B11" s="18">
        <v>45200.0</v>
      </c>
      <c r="C11" s="19">
        <v>356.0</v>
      </c>
      <c r="D11" s="19">
        <f t="shared" si="10"/>
        <v>296</v>
      </c>
      <c r="E11" s="19">
        <f t="shared" si="16"/>
        <v>291.3333333</v>
      </c>
      <c r="F11" s="19">
        <f t="shared" si="11"/>
        <v>306.7</v>
      </c>
      <c r="G11" s="19">
        <f t="shared" si="9"/>
        <v>313.9495101</v>
      </c>
      <c r="H11" s="19">
        <f t="shared" si="1"/>
        <v>314.7766798</v>
      </c>
      <c r="I11" s="19">
        <f t="shared" si="2"/>
        <v>296</v>
      </c>
      <c r="J11" s="19">
        <v>634.0</v>
      </c>
      <c r="K11" s="19">
        <f t="shared" si="12"/>
        <v>563</v>
      </c>
      <c r="L11" s="19">
        <f t="shared" si="17"/>
        <v>555.8333333</v>
      </c>
      <c r="M11" s="19">
        <f t="shared" si="13"/>
        <v>577</v>
      </c>
      <c r="N11" s="19">
        <f t="shared" si="7"/>
        <v>585.8486951</v>
      </c>
      <c r="O11" s="19">
        <f t="shared" si="3"/>
        <v>592.2075099</v>
      </c>
      <c r="P11" s="19">
        <f t="shared" si="4"/>
        <v>563</v>
      </c>
      <c r="Q11" s="19">
        <v>178.0</v>
      </c>
      <c r="R11" s="19">
        <f t="shared" si="14"/>
        <v>147.6666667</v>
      </c>
      <c r="S11" s="19">
        <f t="shared" si="18"/>
        <v>145.1666667</v>
      </c>
      <c r="T11" s="19">
        <f t="shared" si="15"/>
        <v>153.2</v>
      </c>
      <c r="U11" s="19">
        <f t="shared" si="8"/>
        <v>156.8143203</v>
      </c>
      <c r="V11" s="19">
        <f t="shared" si="5"/>
        <v>157.56917</v>
      </c>
      <c r="W11" s="19">
        <f t="shared" si="6"/>
        <v>147.6666667</v>
      </c>
      <c r="X11" s="20"/>
      <c r="Y11" s="20"/>
      <c r="Z11" s="20"/>
    </row>
    <row r="12" ht="15.75" customHeight="1">
      <c r="A12" s="17">
        <v>11.0</v>
      </c>
      <c r="B12" s="18">
        <v>45231.0</v>
      </c>
      <c r="C12" s="19">
        <v>425.0</v>
      </c>
      <c r="D12" s="19">
        <f t="shared" si="10"/>
        <v>326.3333333</v>
      </c>
      <c r="E12" s="19">
        <f t="shared" si="16"/>
        <v>302.8333333</v>
      </c>
      <c r="F12" s="19">
        <f t="shared" si="11"/>
        <v>336</v>
      </c>
      <c r="G12" s="19">
        <f t="shared" si="9"/>
        <v>347.2646571</v>
      </c>
      <c r="H12" s="19">
        <f t="shared" si="1"/>
        <v>318.8231225</v>
      </c>
      <c r="I12" s="19">
        <f t="shared" si="2"/>
        <v>326.3333333</v>
      </c>
      <c r="J12" s="19">
        <v>723.0</v>
      </c>
      <c r="K12" s="19">
        <f t="shared" si="12"/>
        <v>600.6666667</v>
      </c>
      <c r="L12" s="19">
        <f t="shared" si="17"/>
        <v>570.6666667</v>
      </c>
      <c r="M12" s="19">
        <f t="shared" si="13"/>
        <v>611.8</v>
      </c>
      <c r="N12" s="19">
        <f t="shared" si="7"/>
        <v>626.9940866</v>
      </c>
      <c r="O12" s="19">
        <f t="shared" si="3"/>
        <v>596.8428854</v>
      </c>
      <c r="P12" s="19">
        <f t="shared" si="4"/>
        <v>600.6666667</v>
      </c>
      <c r="Q12" s="19">
        <v>212.0</v>
      </c>
      <c r="R12" s="19">
        <f t="shared" si="14"/>
        <v>163.3333333</v>
      </c>
      <c r="S12" s="19">
        <f t="shared" si="18"/>
        <v>151.1666667</v>
      </c>
      <c r="T12" s="19">
        <f t="shared" si="15"/>
        <v>168.1</v>
      </c>
      <c r="U12" s="19">
        <f t="shared" si="8"/>
        <v>173.3700242</v>
      </c>
      <c r="V12" s="19">
        <f t="shared" si="5"/>
        <v>159.6324111</v>
      </c>
      <c r="W12" s="19">
        <f t="shared" si="6"/>
        <v>163.3333333</v>
      </c>
      <c r="X12" s="20"/>
      <c r="Y12" s="20"/>
      <c r="Z12" s="20"/>
    </row>
    <row r="13" ht="15.75" customHeight="1">
      <c r="A13" s="17">
        <v>12.0</v>
      </c>
      <c r="B13" s="18">
        <v>45261.0</v>
      </c>
      <c r="C13" s="19">
        <v>478.0</v>
      </c>
      <c r="D13" s="19">
        <f t="shared" si="10"/>
        <v>371.6666667</v>
      </c>
      <c r="E13" s="19">
        <f t="shared" si="16"/>
        <v>324.5</v>
      </c>
      <c r="F13" s="19">
        <f t="shared" si="11"/>
        <v>386.1</v>
      </c>
      <c r="G13" s="19">
        <f t="shared" si="9"/>
        <v>386.4852599</v>
      </c>
      <c r="H13" s="19">
        <f t="shared" si="1"/>
        <v>322.8695652</v>
      </c>
      <c r="I13" s="19">
        <f t="shared" si="2"/>
        <v>371.6666667</v>
      </c>
      <c r="J13" s="19">
        <v>798.0</v>
      </c>
      <c r="K13" s="19">
        <f t="shared" si="12"/>
        <v>656.3333333</v>
      </c>
      <c r="L13" s="19">
        <f t="shared" si="17"/>
        <v>596.6666667</v>
      </c>
      <c r="M13" s="19">
        <f t="shared" si="13"/>
        <v>674.1</v>
      </c>
      <c r="N13" s="19">
        <f t="shared" si="7"/>
        <v>678.2958606</v>
      </c>
      <c r="O13" s="19">
        <f t="shared" si="3"/>
        <v>601.4782609</v>
      </c>
      <c r="P13" s="19">
        <f t="shared" si="4"/>
        <v>656.3333333</v>
      </c>
      <c r="Q13" s="19">
        <v>245.0</v>
      </c>
      <c r="R13" s="19">
        <f t="shared" si="14"/>
        <v>185.6666667</v>
      </c>
      <c r="S13" s="19">
        <f t="shared" si="18"/>
        <v>161.8333333</v>
      </c>
      <c r="T13" s="19">
        <f t="shared" si="15"/>
        <v>192.8</v>
      </c>
      <c r="U13" s="19">
        <f t="shared" si="8"/>
        <v>194.8590169</v>
      </c>
      <c r="V13" s="19">
        <f t="shared" si="5"/>
        <v>161.6956522</v>
      </c>
      <c r="W13" s="19">
        <f t="shared" si="6"/>
        <v>185.6666667</v>
      </c>
      <c r="X13" s="20"/>
      <c r="Y13" s="20"/>
      <c r="Z13" s="20"/>
    </row>
    <row r="14" ht="15.75" customHeight="1">
      <c r="A14" s="17">
        <v>13.0</v>
      </c>
      <c r="B14" s="18">
        <v>45292.0</v>
      </c>
      <c r="C14" s="19">
        <v>267.0</v>
      </c>
      <c r="D14" s="19">
        <f t="shared" si="10"/>
        <v>419.6666667</v>
      </c>
      <c r="E14" s="19">
        <f t="shared" si="16"/>
        <v>357.8333333</v>
      </c>
      <c r="F14" s="19">
        <f t="shared" si="11"/>
        <v>437.7</v>
      </c>
      <c r="G14" s="19">
        <f t="shared" si="9"/>
        <v>350.639682</v>
      </c>
      <c r="H14" s="19">
        <f t="shared" si="1"/>
        <v>326.9160079</v>
      </c>
      <c r="I14" s="19">
        <f t="shared" si="2"/>
        <v>419.6666667</v>
      </c>
      <c r="J14" s="19">
        <v>558.0</v>
      </c>
      <c r="K14" s="19">
        <f t="shared" si="12"/>
        <v>718.3333333</v>
      </c>
      <c r="L14" s="19">
        <f t="shared" si="17"/>
        <v>640.6666667</v>
      </c>
      <c r="M14" s="19">
        <f t="shared" si="13"/>
        <v>742.7</v>
      </c>
      <c r="N14" s="19">
        <f t="shared" si="7"/>
        <v>642.2071024</v>
      </c>
      <c r="O14" s="19">
        <f t="shared" si="3"/>
        <v>606.1136364</v>
      </c>
      <c r="P14" s="19">
        <f t="shared" si="4"/>
        <v>718.3333333</v>
      </c>
      <c r="Q14" s="19">
        <v>132.0</v>
      </c>
      <c r="R14" s="19">
        <f t="shared" si="14"/>
        <v>211.6666667</v>
      </c>
      <c r="S14" s="19">
        <f t="shared" si="18"/>
        <v>179.6666667</v>
      </c>
      <c r="T14" s="19">
        <f t="shared" si="15"/>
        <v>221.7</v>
      </c>
      <c r="U14" s="19">
        <f t="shared" si="8"/>
        <v>176.0013119</v>
      </c>
      <c r="V14" s="19">
        <f t="shared" si="5"/>
        <v>163.7588933</v>
      </c>
      <c r="W14" s="19">
        <f t="shared" si="6"/>
        <v>211.6666667</v>
      </c>
      <c r="X14" s="20"/>
      <c r="Y14" s="20"/>
      <c r="Z14" s="20"/>
    </row>
    <row r="15" ht="15.75" customHeight="1">
      <c r="A15" s="17">
        <v>14.0</v>
      </c>
      <c r="B15" s="18">
        <v>45323.0</v>
      </c>
      <c r="C15" s="19">
        <v>285.0</v>
      </c>
      <c r="D15" s="19">
        <f t="shared" si="10"/>
        <v>390</v>
      </c>
      <c r="E15" s="19">
        <f t="shared" si="16"/>
        <v>358.1666667</v>
      </c>
      <c r="F15" s="19">
        <f t="shared" si="11"/>
        <v>361.9</v>
      </c>
      <c r="G15" s="19">
        <f t="shared" si="9"/>
        <v>330.9477774</v>
      </c>
      <c r="H15" s="19">
        <f t="shared" si="1"/>
        <v>330.9624506</v>
      </c>
      <c r="I15" s="19">
        <f t="shared" si="2"/>
        <v>390</v>
      </c>
      <c r="J15" s="19">
        <v>572.0</v>
      </c>
      <c r="K15" s="19">
        <f t="shared" si="12"/>
        <v>693</v>
      </c>
      <c r="L15" s="19">
        <f t="shared" si="17"/>
        <v>646.8333333</v>
      </c>
      <c r="M15" s="19">
        <f t="shared" si="13"/>
        <v>663</v>
      </c>
      <c r="N15" s="19">
        <f t="shared" si="7"/>
        <v>621.1449717</v>
      </c>
      <c r="O15" s="19">
        <f t="shared" si="3"/>
        <v>610.7490119</v>
      </c>
      <c r="P15" s="19">
        <f t="shared" si="4"/>
        <v>693</v>
      </c>
      <c r="Q15" s="19">
        <v>145.0</v>
      </c>
      <c r="R15" s="19">
        <f t="shared" si="14"/>
        <v>196.3333333</v>
      </c>
      <c r="S15" s="19">
        <f t="shared" si="18"/>
        <v>179.8333333</v>
      </c>
      <c r="T15" s="19">
        <f t="shared" si="15"/>
        <v>181.9</v>
      </c>
      <c r="U15" s="19">
        <f t="shared" si="8"/>
        <v>166.7009183</v>
      </c>
      <c r="V15" s="19">
        <f t="shared" si="5"/>
        <v>165.8221344</v>
      </c>
      <c r="W15" s="19">
        <f t="shared" si="6"/>
        <v>196.3333333</v>
      </c>
      <c r="X15" s="20"/>
      <c r="Y15" s="20"/>
      <c r="Z15" s="20"/>
    </row>
    <row r="16" ht="15.75" customHeight="1">
      <c r="A16" s="17">
        <v>15.0</v>
      </c>
      <c r="B16" s="18">
        <v>45352.0</v>
      </c>
      <c r="C16" s="19">
        <v>338.0</v>
      </c>
      <c r="D16" s="19">
        <f t="shared" si="10"/>
        <v>343.3333333</v>
      </c>
      <c r="E16" s="19">
        <f t="shared" si="16"/>
        <v>357.5</v>
      </c>
      <c r="F16" s="19">
        <f t="shared" si="11"/>
        <v>318.2</v>
      </c>
      <c r="G16" s="19">
        <f t="shared" si="9"/>
        <v>333.0634442</v>
      </c>
      <c r="H16" s="19">
        <f t="shared" si="1"/>
        <v>335.0088933</v>
      </c>
      <c r="I16" s="19">
        <f t="shared" si="2"/>
        <v>343.3333333</v>
      </c>
      <c r="J16" s="19">
        <v>618.0</v>
      </c>
      <c r="K16" s="19">
        <f t="shared" si="12"/>
        <v>642.6666667</v>
      </c>
      <c r="L16" s="19">
        <f t="shared" si="17"/>
        <v>649.5</v>
      </c>
      <c r="M16" s="19">
        <f t="shared" si="13"/>
        <v>613</v>
      </c>
      <c r="N16" s="19">
        <f t="shared" si="7"/>
        <v>620.2014802</v>
      </c>
      <c r="O16" s="19">
        <f t="shared" si="3"/>
        <v>615.3843874</v>
      </c>
      <c r="P16" s="19">
        <f t="shared" si="4"/>
        <v>642.6666667</v>
      </c>
      <c r="Q16" s="19">
        <v>168.0</v>
      </c>
      <c r="R16" s="19">
        <f t="shared" si="14"/>
        <v>174</v>
      </c>
      <c r="S16" s="19">
        <f t="shared" si="18"/>
        <v>179.8333333</v>
      </c>
      <c r="T16" s="19">
        <f t="shared" si="15"/>
        <v>161.1</v>
      </c>
      <c r="U16" s="19">
        <f t="shared" si="8"/>
        <v>167.0906428</v>
      </c>
      <c r="V16" s="19">
        <f t="shared" si="5"/>
        <v>167.8853755</v>
      </c>
      <c r="W16" s="19">
        <f t="shared" si="6"/>
        <v>174</v>
      </c>
      <c r="X16" s="20"/>
      <c r="Y16" s="20"/>
      <c r="Z16" s="20"/>
    </row>
    <row r="17" ht="15.75" customHeight="1">
      <c r="A17" s="17">
        <v>16.0</v>
      </c>
      <c r="B17" s="18">
        <v>45383.0</v>
      </c>
      <c r="C17" s="19">
        <v>305.0</v>
      </c>
      <c r="D17" s="19">
        <f t="shared" si="10"/>
        <v>296.6666667</v>
      </c>
      <c r="E17" s="19">
        <f t="shared" si="16"/>
        <v>358.1666667</v>
      </c>
      <c r="F17" s="19">
        <f t="shared" si="11"/>
        <v>307.9</v>
      </c>
      <c r="G17" s="19">
        <f t="shared" si="9"/>
        <v>324.6444109</v>
      </c>
      <c r="H17" s="19">
        <f t="shared" si="1"/>
        <v>339.055336</v>
      </c>
      <c r="I17" s="19">
        <f t="shared" si="2"/>
        <v>296.6666667</v>
      </c>
      <c r="J17" s="19">
        <v>573.0</v>
      </c>
      <c r="K17" s="19">
        <f t="shared" si="12"/>
        <v>582.6666667</v>
      </c>
      <c r="L17" s="19">
        <f t="shared" si="17"/>
        <v>650.5</v>
      </c>
      <c r="M17" s="19">
        <f t="shared" si="13"/>
        <v>592.2</v>
      </c>
      <c r="N17" s="19">
        <f t="shared" si="7"/>
        <v>606.0410361</v>
      </c>
      <c r="O17" s="19">
        <f t="shared" si="3"/>
        <v>620.0197628</v>
      </c>
      <c r="P17" s="19">
        <f t="shared" si="4"/>
        <v>582.6666667</v>
      </c>
      <c r="Q17" s="19">
        <v>153.0</v>
      </c>
      <c r="R17" s="19">
        <f t="shared" si="14"/>
        <v>148.3333333</v>
      </c>
      <c r="S17" s="19">
        <f t="shared" si="18"/>
        <v>180</v>
      </c>
      <c r="T17" s="19">
        <f t="shared" si="15"/>
        <v>153.9</v>
      </c>
      <c r="U17" s="19">
        <f t="shared" si="8"/>
        <v>162.86345</v>
      </c>
      <c r="V17" s="19">
        <f t="shared" si="5"/>
        <v>169.9486166</v>
      </c>
      <c r="W17" s="19">
        <f t="shared" si="6"/>
        <v>148.3333333</v>
      </c>
      <c r="X17" s="20"/>
      <c r="Y17" s="20"/>
      <c r="Z17" s="20"/>
    </row>
    <row r="18" ht="15.75" customHeight="1">
      <c r="A18" s="17">
        <v>17.0</v>
      </c>
      <c r="B18" s="18">
        <v>45413.0</v>
      </c>
      <c r="C18" s="19">
        <v>318.0</v>
      </c>
      <c r="D18" s="19">
        <f t="shared" si="10"/>
        <v>309.3333333</v>
      </c>
      <c r="E18" s="19">
        <f t="shared" si="16"/>
        <v>349.6666667</v>
      </c>
      <c r="F18" s="19">
        <f t="shared" si="11"/>
        <v>310.9</v>
      </c>
      <c r="G18" s="19">
        <f t="shared" si="9"/>
        <v>322.6510876</v>
      </c>
      <c r="H18" s="19">
        <f t="shared" si="1"/>
        <v>343.1017787</v>
      </c>
      <c r="I18" s="19">
        <f t="shared" si="2"/>
        <v>309.3333333</v>
      </c>
      <c r="J18" s="19">
        <v>589.0</v>
      </c>
      <c r="K18" s="19">
        <f t="shared" si="12"/>
        <v>587.6666667</v>
      </c>
      <c r="L18" s="19">
        <f t="shared" si="17"/>
        <v>640.3333333</v>
      </c>
      <c r="M18" s="19">
        <f t="shared" si="13"/>
        <v>586.3</v>
      </c>
      <c r="N18" s="19">
        <f t="shared" si="7"/>
        <v>600.9287253</v>
      </c>
      <c r="O18" s="19">
        <f t="shared" si="3"/>
        <v>624.6551383</v>
      </c>
      <c r="P18" s="19">
        <f t="shared" si="4"/>
        <v>587.6666667</v>
      </c>
      <c r="Q18" s="19">
        <v>159.0</v>
      </c>
      <c r="R18" s="19">
        <f t="shared" si="14"/>
        <v>155.3333333</v>
      </c>
      <c r="S18" s="19">
        <f t="shared" si="18"/>
        <v>175.8333333</v>
      </c>
      <c r="T18" s="19">
        <f t="shared" si="15"/>
        <v>155.9</v>
      </c>
      <c r="U18" s="19">
        <f t="shared" si="8"/>
        <v>161.704415</v>
      </c>
      <c r="V18" s="19">
        <f t="shared" si="5"/>
        <v>172.0118577</v>
      </c>
      <c r="W18" s="19">
        <f t="shared" si="6"/>
        <v>155.3333333</v>
      </c>
      <c r="X18" s="20"/>
      <c r="Y18" s="20"/>
      <c r="Z18" s="20"/>
    </row>
    <row r="19" ht="15.75" customHeight="1">
      <c r="A19" s="17">
        <v>18.0</v>
      </c>
      <c r="B19" s="18">
        <v>45444.0</v>
      </c>
      <c r="C19" s="19">
        <v>295.0</v>
      </c>
      <c r="D19" s="19">
        <f t="shared" si="10"/>
        <v>320.3333333</v>
      </c>
      <c r="E19" s="19">
        <f t="shared" si="16"/>
        <v>331.8333333</v>
      </c>
      <c r="F19" s="19">
        <f t="shared" si="11"/>
        <v>318.1</v>
      </c>
      <c r="G19" s="19">
        <f t="shared" si="9"/>
        <v>314.3557613</v>
      </c>
      <c r="H19" s="19">
        <f t="shared" si="1"/>
        <v>347.1482213</v>
      </c>
      <c r="I19" s="19">
        <f t="shared" si="2"/>
        <v>320.3333333</v>
      </c>
      <c r="J19" s="19">
        <v>561.0</v>
      </c>
      <c r="K19" s="19">
        <f t="shared" si="12"/>
        <v>593.3333333</v>
      </c>
      <c r="L19" s="19">
        <f t="shared" si="17"/>
        <v>618</v>
      </c>
      <c r="M19" s="19">
        <f t="shared" si="13"/>
        <v>590</v>
      </c>
      <c r="N19" s="19">
        <f t="shared" si="7"/>
        <v>588.9501077</v>
      </c>
      <c r="O19" s="19">
        <f t="shared" si="3"/>
        <v>629.2905138</v>
      </c>
      <c r="P19" s="19">
        <f t="shared" si="4"/>
        <v>593.3333333</v>
      </c>
      <c r="Q19" s="19">
        <v>147.0</v>
      </c>
      <c r="R19" s="19">
        <f t="shared" si="14"/>
        <v>160</v>
      </c>
      <c r="S19" s="19">
        <f t="shared" si="18"/>
        <v>167</v>
      </c>
      <c r="T19" s="19">
        <f t="shared" si="15"/>
        <v>159</v>
      </c>
      <c r="U19" s="19">
        <f t="shared" si="8"/>
        <v>157.2930905</v>
      </c>
      <c r="V19" s="19">
        <f t="shared" si="5"/>
        <v>174.0750988</v>
      </c>
      <c r="W19" s="19">
        <f t="shared" si="6"/>
        <v>160</v>
      </c>
      <c r="X19" s="20"/>
      <c r="Y19" s="20"/>
      <c r="Z19" s="20"/>
    </row>
    <row r="20" ht="15.75" customHeight="1">
      <c r="A20" s="17">
        <v>19.0</v>
      </c>
      <c r="B20" s="18">
        <v>45474.0</v>
      </c>
      <c r="C20" s="19">
        <v>282.0</v>
      </c>
      <c r="D20" s="19">
        <f t="shared" si="10"/>
        <v>306</v>
      </c>
      <c r="E20" s="19">
        <f t="shared" si="16"/>
        <v>301.3333333</v>
      </c>
      <c r="F20" s="19">
        <f t="shared" si="11"/>
        <v>303.9</v>
      </c>
      <c r="G20" s="19">
        <f t="shared" si="9"/>
        <v>304.6490329</v>
      </c>
      <c r="H20" s="19">
        <f t="shared" si="1"/>
        <v>351.194664</v>
      </c>
      <c r="I20" s="19">
        <f t="shared" si="2"/>
        <v>306</v>
      </c>
      <c r="J20" s="19">
        <v>545.0</v>
      </c>
      <c r="K20" s="19">
        <f t="shared" si="12"/>
        <v>574.3333333</v>
      </c>
      <c r="L20" s="19">
        <f t="shared" si="17"/>
        <v>578.5</v>
      </c>
      <c r="M20" s="19">
        <f t="shared" si="13"/>
        <v>571.8</v>
      </c>
      <c r="N20" s="19">
        <f t="shared" si="7"/>
        <v>575.7650754</v>
      </c>
      <c r="O20" s="19">
        <f t="shared" si="3"/>
        <v>633.9258893</v>
      </c>
      <c r="P20" s="19">
        <f t="shared" si="4"/>
        <v>574.3333333</v>
      </c>
      <c r="Q20" s="19">
        <v>141.0</v>
      </c>
      <c r="R20" s="19">
        <f t="shared" si="14"/>
        <v>153</v>
      </c>
      <c r="S20" s="19">
        <f t="shared" si="18"/>
        <v>150.6666667</v>
      </c>
      <c r="T20" s="19">
        <f t="shared" si="15"/>
        <v>151.8</v>
      </c>
      <c r="U20" s="19">
        <f t="shared" si="8"/>
        <v>152.4051633</v>
      </c>
      <c r="V20" s="19">
        <f t="shared" si="5"/>
        <v>176.1383399</v>
      </c>
      <c r="W20" s="19">
        <f t="shared" si="6"/>
        <v>153</v>
      </c>
      <c r="X20" s="20"/>
      <c r="Y20" s="20"/>
      <c r="Z20" s="20"/>
    </row>
    <row r="21" ht="15.75" customHeight="1">
      <c r="A21" s="17">
        <v>20.0</v>
      </c>
      <c r="B21" s="18">
        <v>45505.0</v>
      </c>
      <c r="C21" s="19">
        <v>308.0</v>
      </c>
      <c r="D21" s="19">
        <f t="shared" si="10"/>
        <v>298.3333333</v>
      </c>
      <c r="E21" s="19">
        <f t="shared" si="16"/>
        <v>303.8333333</v>
      </c>
      <c r="F21" s="19">
        <f t="shared" si="11"/>
        <v>293.1</v>
      </c>
      <c r="G21" s="19">
        <f t="shared" si="9"/>
        <v>305.6543231</v>
      </c>
      <c r="H21" s="19">
        <f t="shared" si="1"/>
        <v>355.2411067</v>
      </c>
      <c r="I21" s="19">
        <f t="shared" si="2"/>
        <v>298.3333333</v>
      </c>
      <c r="J21" s="19">
        <v>584.0</v>
      </c>
      <c r="K21" s="19">
        <f t="shared" si="12"/>
        <v>565</v>
      </c>
      <c r="L21" s="19">
        <f t="shared" si="17"/>
        <v>576.3333333</v>
      </c>
      <c r="M21" s="19">
        <f t="shared" si="13"/>
        <v>558.6</v>
      </c>
      <c r="N21" s="19">
        <f t="shared" si="7"/>
        <v>578.2355528</v>
      </c>
      <c r="O21" s="19">
        <f t="shared" si="3"/>
        <v>638.5612648</v>
      </c>
      <c r="P21" s="19">
        <f t="shared" si="4"/>
        <v>565</v>
      </c>
      <c r="Q21" s="19">
        <v>156.0</v>
      </c>
      <c r="R21" s="19">
        <f t="shared" si="14"/>
        <v>149</v>
      </c>
      <c r="S21" s="19">
        <f t="shared" si="18"/>
        <v>152.1666667</v>
      </c>
      <c r="T21" s="19">
        <f t="shared" si="15"/>
        <v>146.4</v>
      </c>
      <c r="U21" s="19">
        <f t="shared" si="8"/>
        <v>153.4836143</v>
      </c>
      <c r="V21" s="19">
        <f t="shared" si="5"/>
        <v>178.201581</v>
      </c>
      <c r="W21" s="19">
        <f t="shared" si="6"/>
        <v>149</v>
      </c>
      <c r="X21" s="20"/>
      <c r="Y21" s="20"/>
      <c r="Z21" s="20"/>
    </row>
    <row r="22" ht="15.75" customHeight="1">
      <c r="A22" s="17">
        <v>21.0</v>
      </c>
      <c r="B22" s="18">
        <v>45536.0</v>
      </c>
      <c r="C22" s="19">
        <v>358.0</v>
      </c>
      <c r="D22" s="19">
        <f t="shared" si="10"/>
        <v>295</v>
      </c>
      <c r="E22" s="19">
        <f t="shared" si="16"/>
        <v>307.6666667</v>
      </c>
      <c r="F22" s="19">
        <f t="shared" si="11"/>
        <v>297.6</v>
      </c>
      <c r="G22" s="19">
        <f t="shared" si="9"/>
        <v>321.3580261</v>
      </c>
      <c r="H22" s="19">
        <f t="shared" si="1"/>
        <v>359.2875494</v>
      </c>
      <c r="I22" s="19">
        <f t="shared" si="2"/>
        <v>295</v>
      </c>
      <c r="J22" s="19">
        <v>645.0</v>
      </c>
      <c r="K22" s="19">
        <f t="shared" si="12"/>
        <v>563.3333333</v>
      </c>
      <c r="L22" s="19">
        <f t="shared" si="17"/>
        <v>578.3333333</v>
      </c>
      <c r="M22" s="19">
        <f t="shared" si="13"/>
        <v>567.7</v>
      </c>
      <c r="N22" s="19">
        <f t="shared" si="7"/>
        <v>598.2648869</v>
      </c>
      <c r="O22" s="19">
        <f t="shared" si="3"/>
        <v>643.1966403</v>
      </c>
      <c r="P22" s="19">
        <f t="shared" si="4"/>
        <v>563.3333333</v>
      </c>
      <c r="Q22" s="19">
        <v>179.0</v>
      </c>
      <c r="R22" s="19">
        <f t="shared" si="14"/>
        <v>148</v>
      </c>
      <c r="S22" s="19">
        <f t="shared" si="18"/>
        <v>154</v>
      </c>
      <c r="T22" s="19">
        <f t="shared" si="15"/>
        <v>149.7</v>
      </c>
      <c r="U22" s="19">
        <f t="shared" si="8"/>
        <v>161.13853</v>
      </c>
      <c r="V22" s="19">
        <f t="shared" si="5"/>
        <v>180.2648221</v>
      </c>
      <c r="W22" s="19">
        <f t="shared" si="6"/>
        <v>148</v>
      </c>
      <c r="X22" s="20"/>
      <c r="Y22" s="20"/>
      <c r="Z22" s="20"/>
    </row>
    <row r="23" ht="15.75" customHeight="1">
      <c r="A23" s="17">
        <v>22.0</v>
      </c>
      <c r="B23" s="18">
        <v>45566.0</v>
      </c>
      <c r="C23" s="19">
        <v>382.0</v>
      </c>
      <c r="D23" s="19">
        <f t="shared" si="10"/>
        <v>316</v>
      </c>
      <c r="E23" s="19">
        <f t="shared" si="16"/>
        <v>311</v>
      </c>
      <c r="F23" s="19">
        <f t="shared" si="11"/>
        <v>327.8</v>
      </c>
      <c r="G23" s="19">
        <f t="shared" si="9"/>
        <v>339.5506183</v>
      </c>
      <c r="H23" s="19">
        <f t="shared" si="1"/>
        <v>363.3339921</v>
      </c>
      <c r="I23" s="19">
        <f t="shared" si="2"/>
        <v>316</v>
      </c>
      <c r="J23" s="19">
        <v>668.0</v>
      </c>
      <c r="K23" s="19">
        <f t="shared" si="12"/>
        <v>591.3333333</v>
      </c>
      <c r="L23" s="19">
        <f t="shared" si="17"/>
        <v>582.8333333</v>
      </c>
      <c r="M23" s="19">
        <f t="shared" si="13"/>
        <v>606.7</v>
      </c>
      <c r="N23" s="19">
        <f t="shared" si="7"/>
        <v>619.1854209</v>
      </c>
      <c r="O23" s="19">
        <f t="shared" si="3"/>
        <v>647.8320158</v>
      </c>
      <c r="P23" s="19">
        <f t="shared" si="4"/>
        <v>591.3333333</v>
      </c>
      <c r="Q23" s="19">
        <v>192.0</v>
      </c>
      <c r="R23" s="19">
        <f t="shared" si="14"/>
        <v>158.6666667</v>
      </c>
      <c r="S23" s="19">
        <f t="shared" si="18"/>
        <v>155.8333333</v>
      </c>
      <c r="T23" s="19">
        <f t="shared" si="15"/>
        <v>164.5</v>
      </c>
      <c r="U23" s="19">
        <f t="shared" si="8"/>
        <v>170.396971</v>
      </c>
      <c r="V23" s="19">
        <f t="shared" si="5"/>
        <v>182.3280632</v>
      </c>
      <c r="W23" s="19">
        <f t="shared" si="6"/>
        <v>158.6666667</v>
      </c>
      <c r="X23" s="20"/>
      <c r="Y23" s="20"/>
      <c r="Z23" s="20"/>
    </row>
    <row r="24" ht="15.75" customHeight="1">
      <c r="A24" s="17">
        <v>23.0</v>
      </c>
      <c r="B24" s="18">
        <v>45597.0</v>
      </c>
      <c r="C24" s="19">
        <v>456.0</v>
      </c>
      <c r="D24" s="19">
        <f t="shared" si="10"/>
        <v>349.3333333</v>
      </c>
      <c r="E24" s="19">
        <f t="shared" si="16"/>
        <v>323.8333333</v>
      </c>
      <c r="F24" s="19">
        <f t="shared" si="11"/>
        <v>360</v>
      </c>
      <c r="G24" s="19">
        <f t="shared" si="9"/>
        <v>374.4854328</v>
      </c>
      <c r="H24" s="19">
        <f t="shared" si="1"/>
        <v>367.3804348</v>
      </c>
      <c r="I24" s="19">
        <f t="shared" si="2"/>
        <v>349.3333333</v>
      </c>
      <c r="J24" s="19">
        <v>762.0</v>
      </c>
      <c r="K24" s="19">
        <f t="shared" si="12"/>
        <v>632.3333333</v>
      </c>
      <c r="L24" s="19">
        <f t="shared" si="17"/>
        <v>598.6666667</v>
      </c>
      <c r="M24" s="19">
        <f t="shared" si="13"/>
        <v>644.3</v>
      </c>
      <c r="N24" s="19">
        <f t="shared" si="7"/>
        <v>662.0297946</v>
      </c>
      <c r="O24" s="19">
        <f t="shared" si="3"/>
        <v>652.4673913</v>
      </c>
      <c r="P24" s="19">
        <f t="shared" si="4"/>
        <v>632.3333333</v>
      </c>
      <c r="Q24" s="19">
        <v>228.0</v>
      </c>
      <c r="R24" s="19">
        <f t="shared" si="14"/>
        <v>175.6666667</v>
      </c>
      <c r="S24" s="19">
        <f t="shared" si="18"/>
        <v>162.3333333</v>
      </c>
      <c r="T24" s="19">
        <f t="shared" si="15"/>
        <v>180.9</v>
      </c>
      <c r="U24" s="19">
        <f t="shared" si="8"/>
        <v>187.6778797</v>
      </c>
      <c r="V24" s="19">
        <f t="shared" si="5"/>
        <v>184.3913043</v>
      </c>
      <c r="W24" s="19">
        <f t="shared" si="6"/>
        <v>175.6666667</v>
      </c>
      <c r="X24" s="20"/>
      <c r="Y24" s="20"/>
      <c r="Z24" s="20"/>
    </row>
    <row r="25" ht="15.75" customHeight="1">
      <c r="A25" s="17">
        <v>24.0</v>
      </c>
      <c r="B25" s="18">
        <v>45627.0</v>
      </c>
      <c r="C25" s="19">
        <v>512.0</v>
      </c>
      <c r="D25" s="19">
        <f t="shared" si="10"/>
        <v>398.6666667</v>
      </c>
      <c r="E25" s="19">
        <f t="shared" si="16"/>
        <v>346.8333333</v>
      </c>
      <c r="F25" s="19">
        <f t="shared" si="11"/>
        <v>414.2</v>
      </c>
      <c r="G25" s="19">
        <f t="shared" si="9"/>
        <v>415.739803</v>
      </c>
      <c r="H25" s="19">
        <f t="shared" si="1"/>
        <v>371.4268775</v>
      </c>
      <c r="I25" s="19">
        <f t="shared" si="2"/>
        <v>398.6666667</v>
      </c>
      <c r="J25" s="19">
        <v>834.0</v>
      </c>
      <c r="K25" s="19">
        <f t="shared" si="12"/>
        <v>691.6666667</v>
      </c>
      <c r="L25" s="19">
        <f t="shared" si="17"/>
        <v>627.5</v>
      </c>
      <c r="M25" s="19">
        <f t="shared" si="13"/>
        <v>710.4</v>
      </c>
      <c r="N25" s="19">
        <f t="shared" si="7"/>
        <v>713.6208562</v>
      </c>
      <c r="O25" s="19">
        <f t="shared" si="3"/>
        <v>657.1027668</v>
      </c>
      <c r="P25" s="19">
        <f t="shared" si="4"/>
        <v>691.6666667</v>
      </c>
      <c r="Q25" s="19">
        <v>263.0</v>
      </c>
      <c r="R25" s="19">
        <f t="shared" si="14"/>
        <v>199.6666667</v>
      </c>
      <c r="S25" s="19">
        <f t="shared" si="18"/>
        <v>173.8333333</v>
      </c>
      <c r="T25" s="19">
        <f t="shared" si="15"/>
        <v>207.4</v>
      </c>
      <c r="U25" s="19">
        <f t="shared" si="8"/>
        <v>210.2745158</v>
      </c>
      <c r="V25" s="19">
        <f t="shared" si="5"/>
        <v>186.4545455</v>
      </c>
      <c r="W25" s="19">
        <f t="shared" si="6"/>
        <v>199.6666667</v>
      </c>
      <c r="X25" s="20"/>
      <c r="Y25" s="20"/>
      <c r="Z25" s="20"/>
    </row>
    <row r="26" ht="15.7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</row>
    <row r="27" ht="15.7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</row>
    <row r="28" ht="15.75" customHeight="1">
      <c r="A28" s="21" t="s">
        <v>37</v>
      </c>
      <c r="B28" s="22">
        <v>0.3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</row>
    <row r="29" ht="15.75" hidden="1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</row>
    <row r="30" ht="15.75" hidden="1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</row>
    <row r="31" ht="15.75" hidden="1" customHeight="1">
      <c r="A31" s="20"/>
      <c r="B31" s="20"/>
      <c r="C31" s="20"/>
      <c r="D31" s="20"/>
      <c r="E31" s="20"/>
      <c r="F31" s="20"/>
      <c r="G31" s="2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</row>
    <row r="32" ht="15.75" hidden="1" customHeight="1">
      <c r="A32" s="20"/>
      <c r="B32" s="20"/>
      <c r="C32" s="20"/>
      <c r="D32" s="20"/>
      <c r="E32" s="20"/>
      <c r="F32" s="20"/>
      <c r="G32" s="2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</row>
    <row r="33" ht="15.75" hidden="1" customHeight="1">
      <c r="A33" s="20"/>
      <c r="B33" s="20"/>
      <c r="C33" s="20"/>
      <c r="D33" s="20"/>
      <c r="E33" s="20"/>
      <c r="F33" s="20"/>
      <c r="G33" s="2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</row>
    <row r="34" ht="15.75" hidden="1" customHeight="1">
      <c r="A34" s="20"/>
      <c r="B34" s="20"/>
      <c r="C34" s="20"/>
      <c r="D34" s="20"/>
      <c r="E34" s="20"/>
      <c r="F34" s="20"/>
      <c r="G34" s="2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</row>
    <row r="35" ht="15.75" hidden="1" customHeight="1">
      <c r="A35" s="20"/>
      <c r="B35" s="20"/>
      <c r="C35" s="20"/>
      <c r="D35" s="20"/>
      <c r="E35" s="20"/>
      <c r="F35" s="20"/>
      <c r="G35" s="2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</row>
    <row r="36" ht="15.75" hidden="1" customHeight="1">
      <c r="A36" s="20"/>
      <c r="B36" s="20"/>
      <c r="C36" s="20"/>
      <c r="D36" s="20"/>
      <c r="E36" s="20"/>
      <c r="F36" s="20"/>
      <c r="G36" s="2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</row>
    <row r="37" ht="15.75" hidden="1" customHeight="1">
      <c r="A37" s="20"/>
      <c r="B37" s="20"/>
      <c r="C37" s="20"/>
      <c r="D37" s="20"/>
      <c r="E37" s="20"/>
      <c r="F37" s="20"/>
      <c r="G37" s="2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</row>
    <row r="38" ht="15.75" hidden="1" customHeight="1">
      <c r="A38" s="20"/>
      <c r="B38" s="20"/>
      <c r="C38" s="20"/>
      <c r="D38" s="20"/>
      <c r="E38" s="20"/>
      <c r="F38" s="20"/>
      <c r="G38" s="2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</row>
    <row r="39" ht="15.75" hidden="1" customHeight="1">
      <c r="A39" s="20"/>
      <c r="B39" s="20"/>
      <c r="C39" s="20"/>
      <c r="D39" s="20"/>
      <c r="E39" s="20"/>
      <c r="F39" s="20"/>
      <c r="G39" s="2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</row>
    <row r="40" ht="15.75" hidden="1" customHeight="1">
      <c r="A40" s="20"/>
      <c r="B40" s="20"/>
      <c r="C40" s="20"/>
      <c r="D40" s="20"/>
      <c r="E40" s="20"/>
      <c r="F40" s="20"/>
      <c r="G40" s="2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</row>
    <row r="41" ht="15.75" hidden="1" customHeight="1">
      <c r="A41" s="20"/>
      <c r="B41" s="20"/>
      <c r="C41" s="20"/>
      <c r="D41" s="20"/>
      <c r="E41" s="20"/>
      <c r="F41" s="20"/>
      <c r="G41" s="2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</row>
    <row r="42" ht="15.75" hidden="1" customHeight="1">
      <c r="A42" s="20"/>
      <c r="B42" s="20"/>
      <c r="C42" s="20"/>
      <c r="D42" s="20"/>
      <c r="E42" s="20"/>
      <c r="F42" s="20"/>
      <c r="G42" s="2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</row>
    <row r="43" ht="15.75" hidden="1" customHeight="1">
      <c r="A43" s="20"/>
      <c r="B43" s="20"/>
      <c r="C43" s="20"/>
      <c r="D43" s="20"/>
      <c r="E43" s="20"/>
      <c r="F43" s="20"/>
      <c r="G43" s="2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</row>
    <row r="44" ht="15.75" hidden="1" customHeight="1">
      <c r="A44" s="20"/>
      <c r="B44" s="20"/>
      <c r="C44" s="20"/>
      <c r="D44" s="20"/>
      <c r="E44" s="20"/>
      <c r="F44" s="20"/>
      <c r="G44" s="2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</row>
    <row r="45" ht="15.75" hidden="1" customHeight="1">
      <c r="A45" s="20"/>
      <c r="B45" s="20"/>
      <c r="C45" s="20"/>
      <c r="D45" s="20"/>
      <c r="E45" s="20"/>
      <c r="F45" s="20"/>
      <c r="G45" s="2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</row>
    <row r="46" ht="15.75" hidden="1" customHeight="1">
      <c r="A46" s="20"/>
      <c r="B46" s="20"/>
      <c r="C46" s="20"/>
      <c r="D46" s="20"/>
      <c r="E46" s="20"/>
      <c r="F46" s="20"/>
      <c r="G46" s="2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</row>
    <row r="47" ht="15.75" hidden="1" customHeight="1">
      <c r="A47" s="20"/>
      <c r="B47" s="20"/>
      <c r="C47" s="20"/>
      <c r="D47" s="20"/>
      <c r="E47" s="20"/>
      <c r="F47" s="20"/>
      <c r="G47" s="2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</row>
    <row r="48" ht="15.75" hidden="1" customHeight="1">
      <c r="A48" s="20"/>
      <c r="B48" s="20"/>
      <c r="C48" s="20"/>
      <c r="D48" s="20"/>
      <c r="E48" s="20"/>
      <c r="F48" s="20"/>
      <c r="G48" s="2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</row>
    <row r="49" ht="15.75" hidden="1" customHeight="1">
      <c r="A49" s="20"/>
      <c r="B49" s="20"/>
      <c r="C49" s="20"/>
      <c r="D49" s="20"/>
      <c r="E49" s="20"/>
      <c r="F49" s="20"/>
      <c r="G49" s="2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</row>
    <row r="50" ht="15.75" hidden="1" customHeight="1">
      <c r="A50" s="20"/>
      <c r="B50" s="20"/>
      <c r="C50" s="20"/>
      <c r="D50" s="20"/>
      <c r="E50" s="20"/>
      <c r="F50" s="20"/>
      <c r="G50" s="2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</row>
    <row r="51" ht="15.75" hidden="1" customHeight="1">
      <c r="A51" s="20"/>
      <c r="B51" s="20"/>
      <c r="C51" s="20"/>
      <c r="D51" s="20"/>
      <c r="E51" s="20"/>
      <c r="F51" s="20"/>
      <c r="G51" s="2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</row>
    <row r="52" ht="15.75" hidden="1" customHeight="1">
      <c r="A52" s="20"/>
      <c r="B52" s="20"/>
      <c r="C52" s="20"/>
      <c r="D52" s="20"/>
      <c r="E52" s="20"/>
      <c r="F52" s="20"/>
      <c r="G52" s="2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</row>
    <row r="53" ht="15.75" hidden="1" customHeight="1">
      <c r="A53" s="20"/>
      <c r="B53" s="20"/>
      <c r="C53" s="20"/>
      <c r="D53" s="20"/>
      <c r="E53" s="20"/>
      <c r="F53" s="20"/>
      <c r="G53" s="2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</row>
    <row r="54" ht="15.75" hidden="1" customHeight="1">
      <c r="A54" s="20"/>
      <c r="B54" s="20"/>
      <c r="C54" s="20"/>
      <c r="D54" s="20"/>
      <c r="E54" s="20"/>
      <c r="F54" s="20"/>
      <c r="G54" s="2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</row>
    <row r="55" ht="15.75" hidden="1" customHeight="1">
      <c r="A55" s="20"/>
      <c r="B55" s="20"/>
      <c r="C55" s="20"/>
      <c r="D55" s="20"/>
      <c r="E55" s="20"/>
      <c r="F55" s="20"/>
      <c r="G55" s="2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</row>
    <row r="56" ht="15.75" hidden="1" customHeight="1">
      <c r="A56" s="20"/>
      <c r="B56" s="20"/>
      <c r="C56" s="20"/>
      <c r="D56" s="20"/>
      <c r="E56" s="20"/>
      <c r="F56" s="20"/>
      <c r="G56" s="2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</row>
    <row r="57" ht="15.75" hidden="1" customHeight="1">
      <c r="A57" s="20"/>
      <c r="B57" s="20"/>
      <c r="C57" s="20"/>
      <c r="D57" s="20"/>
      <c r="E57" s="20"/>
      <c r="F57" s="20"/>
      <c r="G57" s="2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</row>
    <row r="58" ht="15.75" hidden="1" customHeight="1">
      <c r="A58" s="20"/>
      <c r="B58" s="20"/>
      <c r="C58" s="20"/>
      <c r="D58" s="20"/>
      <c r="E58" s="20"/>
      <c r="F58" s="20"/>
      <c r="G58" s="2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</row>
    <row r="59" ht="15.75" hidden="1" customHeight="1">
      <c r="A59" s="20"/>
      <c r="B59" s="20"/>
      <c r="C59" s="20"/>
      <c r="D59" s="20"/>
      <c r="E59" s="20"/>
      <c r="F59" s="20"/>
      <c r="G59" s="2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</row>
    <row r="60" ht="15.75" hidden="1" customHeight="1">
      <c r="A60" s="20"/>
      <c r="B60" s="20"/>
      <c r="C60" s="20"/>
      <c r="D60" s="20"/>
      <c r="E60" s="20"/>
      <c r="F60" s="20"/>
      <c r="G60" s="2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</row>
    <row r="61" ht="15.75" hidden="1" customHeight="1">
      <c r="A61" s="20"/>
      <c r="B61" s="20"/>
      <c r="C61" s="20"/>
      <c r="D61" s="20"/>
      <c r="E61" s="20"/>
      <c r="F61" s="20"/>
      <c r="G61" s="2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</row>
    <row r="62" ht="15.75" hidden="1" customHeight="1">
      <c r="A62" s="20"/>
      <c r="B62" s="20"/>
      <c r="C62" s="20"/>
      <c r="D62" s="20"/>
      <c r="E62" s="20"/>
      <c r="F62" s="20"/>
      <c r="G62" s="2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</row>
    <row r="63" ht="15.75" hidden="1" customHeight="1">
      <c r="A63" s="20"/>
      <c r="B63" s="20"/>
      <c r="C63" s="20"/>
      <c r="D63" s="20"/>
      <c r="E63" s="20"/>
      <c r="F63" s="20"/>
      <c r="G63" s="2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</row>
    <row r="64" ht="15.75" hidden="1" customHeight="1">
      <c r="A64" s="20"/>
      <c r="B64" s="20"/>
      <c r="C64" s="20"/>
      <c r="D64" s="20"/>
      <c r="E64" s="20"/>
      <c r="F64" s="20"/>
      <c r="G64" s="2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</row>
    <row r="65" ht="15.75" hidden="1" customHeight="1">
      <c r="A65" s="20"/>
      <c r="B65" s="20"/>
      <c r="C65" s="20"/>
      <c r="D65" s="20"/>
      <c r="E65" s="20"/>
      <c r="F65" s="20"/>
      <c r="G65" s="2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</row>
    <row r="66" ht="15.75" hidden="1" customHeight="1">
      <c r="A66" s="20"/>
      <c r="B66" s="20"/>
      <c r="C66" s="20"/>
      <c r="D66" s="20"/>
      <c r="E66" s="20"/>
      <c r="F66" s="20"/>
      <c r="G66" s="2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</row>
    <row r="67" ht="15.75" hidden="1" customHeight="1">
      <c r="A67" s="20"/>
      <c r="B67" s="20"/>
      <c r="C67" s="20"/>
      <c r="D67" s="20"/>
      <c r="E67" s="20"/>
      <c r="F67" s="20"/>
      <c r="G67" s="2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</row>
    <row r="68" ht="15.75" hidden="1" customHeight="1">
      <c r="A68" s="20"/>
      <c r="B68" s="20"/>
      <c r="C68" s="20"/>
      <c r="D68" s="20"/>
      <c r="E68" s="20"/>
      <c r="F68" s="20"/>
      <c r="G68" s="2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</row>
    <row r="69" ht="15.75" hidden="1" customHeight="1">
      <c r="A69" s="20"/>
      <c r="B69" s="20"/>
      <c r="C69" s="20"/>
      <c r="D69" s="20"/>
      <c r="E69" s="20"/>
      <c r="F69" s="20"/>
      <c r="G69" s="2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</row>
    <row r="70" ht="15.75" hidden="1" customHeight="1">
      <c r="A70" s="20"/>
      <c r="B70" s="20"/>
      <c r="C70" s="20"/>
      <c r="D70" s="20"/>
      <c r="E70" s="20"/>
      <c r="F70" s="20"/>
      <c r="G70" s="2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</row>
    <row r="71" ht="15.75" hidden="1" customHeight="1">
      <c r="A71" s="20"/>
      <c r="B71" s="20"/>
      <c r="C71" s="20"/>
      <c r="D71" s="20"/>
      <c r="E71" s="20"/>
      <c r="F71" s="20"/>
      <c r="G71" s="2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</row>
    <row r="72" ht="15.75" hidden="1" customHeight="1">
      <c r="A72" s="20"/>
      <c r="B72" s="20"/>
      <c r="C72" s="20"/>
      <c r="D72" s="20"/>
      <c r="E72" s="20"/>
      <c r="F72" s="20"/>
      <c r="G72" s="2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</row>
    <row r="73" ht="15.75" hidden="1" customHeight="1">
      <c r="A73" s="20"/>
      <c r="B73" s="20"/>
      <c r="C73" s="20"/>
      <c r="D73" s="20"/>
      <c r="E73" s="20"/>
      <c r="F73" s="20"/>
      <c r="G73" s="2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</row>
    <row r="74" ht="15.75" hidden="1" customHeight="1">
      <c r="A74" s="20"/>
      <c r="B74" s="20"/>
      <c r="C74" s="20"/>
      <c r="D74" s="20"/>
      <c r="E74" s="20"/>
      <c r="F74" s="20"/>
      <c r="G74" s="2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</row>
    <row r="75" ht="15.75" hidden="1" customHeight="1">
      <c r="A75" s="20"/>
      <c r="B75" s="20"/>
      <c r="C75" s="20"/>
      <c r="D75" s="20"/>
      <c r="E75" s="20"/>
      <c r="F75" s="20"/>
      <c r="G75" s="2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</row>
    <row r="76" ht="15.75" hidden="1" customHeight="1">
      <c r="A76" s="20"/>
      <c r="B76" s="20"/>
      <c r="C76" s="20"/>
      <c r="D76" s="20"/>
      <c r="E76" s="20"/>
      <c r="F76" s="20"/>
      <c r="G76" s="2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</row>
    <row r="77" ht="15.75" hidden="1" customHeight="1">
      <c r="A77" s="20"/>
      <c r="B77" s="20"/>
      <c r="C77" s="20"/>
      <c r="D77" s="20"/>
      <c r="E77" s="20"/>
      <c r="F77" s="20"/>
      <c r="G77" s="2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</row>
    <row r="78" ht="15.75" hidden="1" customHeight="1">
      <c r="A78" s="20"/>
      <c r="B78" s="20"/>
      <c r="C78" s="20"/>
      <c r="D78" s="20"/>
      <c r="E78" s="20"/>
      <c r="F78" s="20"/>
      <c r="G78" s="2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</row>
    <row r="79" ht="15.75" hidden="1" customHeight="1">
      <c r="A79" s="20"/>
      <c r="B79" s="20"/>
      <c r="C79" s="20"/>
      <c r="D79" s="20"/>
      <c r="E79" s="20"/>
      <c r="F79" s="20"/>
      <c r="G79" s="2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</row>
    <row r="80" ht="15.75" hidden="1" customHeight="1">
      <c r="A80" s="20"/>
      <c r="B80" s="20"/>
      <c r="C80" s="20"/>
      <c r="D80" s="20"/>
      <c r="E80" s="20"/>
      <c r="F80" s="20"/>
      <c r="G80" s="2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</row>
    <row r="81" ht="15.75" hidden="1" customHeight="1">
      <c r="A81" s="20"/>
      <c r="B81" s="20"/>
      <c r="C81" s="20"/>
      <c r="D81" s="20"/>
      <c r="E81" s="20"/>
      <c r="F81" s="20"/>
      <c r="G81" s="2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</row>
    <row r="82" ht="15.75" hidden="1" customHeight="1">
      <c r="A82" s="20"/>
      <c r="B82" s="20"/>
      <c r="C82" s="20"/>
      <c r="D82" s="20"/>
      <c r="E82" s="20"/>
      <c r="F82" s="20"/>
      <c r="G82" s="2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</row>
    <row r="83" ht="15.75" hidden="1" customHeight="1">
      <c r="A83" s="20"/>
      <c r="B83" s="20"/>
      <c r="C83" s="20"/>
      <c r="D83" s="20"/>
      <c r="E83" s="20"/>
      <c r="F83" s="20"/>
      <c r="G83" s="2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</row>
    <row r="84" ht="15.75" hidden="1" customHeight="1">
      <c r="A84" s="20"/>
      <c r="B84" s="20"/>
      <c r="C84" s="20"/>
      <c r="D84" s="20"/>
      <c r="E84" s="20"/>
      <c r="F84" s="20"/>
      <c r="G84" s="2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</row>
    <row r="85" ht="15.75" hidden="1" customHeight="1">
      <c r="A85" s="20"/>
      <c r="B85" s="20"/>
      <c r="C85" s="20"/>
      <c r="D85" s="20"/>
      <c r="E85" s="20"/>
      <c r="F85" s="20"/>
      <c r="G85" s="2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</row>
    <row r="86" ht="15.75" hidden="1" customHeight="1">
      <c r="A86" s="20"/>
      <c r="B86" s="20"/>
      <c r="C86" s="20"/>
      <c r="D86" s="20"/>
      <c r="E86" s="20"/>
      <c r="F86" s="20"/>
      <c r="G86" s="2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</row>
    <row r="87" ht="15.75" hidden="1" customHeight="1">
      <c r="A87" s="20"/>
      <c r="B87" s="20"/>
      <c r="C87" s="20"/>
      <c r="D87" s="20"/>
      <c r="E87" s="20"/>
      <c r="F87" s="20"/>
      <c r="G87" s="2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</row>
    <row r="88" ht="15.75" hidden="1" customHeight="1">
      <c r="A88" s="20"/>
      <c r="B88" s="20"/>
      <c r="C88" s="20"/>
      <c r="D88" s="20"/>
      <c r="E88" s="20"/>
      <c r="F88" s="20"/>
      <c r="G88" s="2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</row>
    <row r="89" ht="15.75" hidden="1" customHeight="1">
      <c r="A89" s="20"/>
      <c r="B89" s="20"/>
      <c r="C89" s="20"/>
      <c r="D89" s="20"/>
      <c r="E89" s="20"/>
      <c r="F89" s="20"/>
      <c r="G89" s="2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</row>
    <row r="90" ht="15.75" hidden="1" customHeight="1">
      <c r="A90" s="20"/>
      <c r="B90" s="20"/>
      <c r="C90" s="20"/>
      <c r="D90" s="20"/>
      <c r="E90" s="20"/>
      <c r="F90" s="20"/>
      <c r="G90" s="2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</row>
    <row r="91" ht="15.75" hidden="1" customHeight="1">
      <c r="A91" s="20"/>
      <c r="B91" s="20"/>
      <c r="C91" s="20"/>
      <c r="D91" s="20"/>
      <c r="E91" s="20"/>
      <c r="F91" s="20"/>
      <c r="G91" s="2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</row>
    <row r="92" ht="15.75" hidden="1" customHeight="1">
      <c r="A92" s="20"/>
      <c r="B92" s="20"/>
      <c r="C92" s="20"/>
      <c r="D92" s="20"/>
      <c r="E92" s="20"/>
      <c r="F92" s="20"/>
      <c r="G92" s="2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</row>
    <row r="93" ht="15.75" hidden="1" customHeight="1">
      <c r="A93" s="20"/>
      <c r="B93" s="20"/>
      <c r="C93" s="20"/>
      <c r="D93" s="20"/>
      <c r="E93" s="20"/>
      <c r="F93" s="20"/>
      <c r="G93" s="2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</row>
    <row r="94" ht="15.75" hidden="1" customHeight="1">
      <c r="A94" s="20"/>
      <c r="B94" s="20"/>
      <c r="C94" s="20"/>
      <c r="D94" s="20"/>
      <c r="E94" s="20"/>
      <c r="F94" s="20"/>
      <c r="G94" s="2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</row>
    <row r="95" ht="15.75" hidden="1" customHeight="1">
      <c r="A95" s="20"/>
      <c r="B95" s="20"/>
      <c r="C95" s="20"/>
      <c r="D95" s="20"/>
      <c r="E95" s="20"/>
      <c r="F95" s="20"/>
      <c r="G95" s="2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</row>
    <row r="96" ht="15.75" hidden="1" customHeight="1">
      <c r="A96" s="20"/>
      <c r="B96" s="20"/>
      <c r="C96" s="20"/>
      <c r="D96" s="20"/>
      <c r="E96" s="20"/>
      <c r="F96" s="20"/>
      <c r="G96" s="2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</row>
    <row r="97" ht="15.75" hidden="1" customHeight="1">
      <c r="A97" s="20"/>
      <c r="B97" s="20"/>
      <c r="C97" s="20"/>
      <c r="D97" s="20"/>
      <c r="E97" s="20"/>
      <c r="F97" s="20"/>
      <c r="G97" s="2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</row>
    <row r="98" ht="15.75" hidden="1" customHeight="1">
      <c r="A98" s="20"/>
      <c r="B98" s="20"/>
      <c r="C98" s="20"/>
      <c r="D98" s="20"/>
      <c r="E98" s="20"/>
      <c r="F98" s="20"/>
      <c r="G98" s="2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</row>
    <row r="99" ht="15.75" hidden="1" customHeight="1">
      <c r="A99" s="20"/>
      <c r="B99" s="20"/>
      <c r="C99" s="20"/>
      <c r="D99" s="20"/>
      <c r="E99" s="20"/>
      <c r="F99" s="20"/>
      <c r="G99" s="2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</row>
    <row r="100" ht="15.75" hidden="1" customHeight="1">
      <c r="A100" s="20"/>
      <c r="B100" s="20"/>
      <c r="C100" s="20"/>
      <c r="D100" s="20"/>
      <c r="E100" s="20"/>
      <c r="F100" s="20"/>
      <c r="G100" s="2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</row>
    <row r="101" ht="15.75" hidden="1" customHeight="1">
      <c r="A101" s="20"/>
      <c r="B101" s="20"/>
      <c r="C101" s="20"/>
      <c r="D101" s="20"/>
      <c r="E101" s="20"/>
      <c r="F101" s="20"/>
      <c r="G101" s="2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</row>
    <row r="102" ht="15.75" hidden="1" customHeight="1">
      <c r="A102" s="20"/>
      <c r="B102" s="20"/>
      <c r="C102" s="20"/>
      <c r="D102" s="20"/>
      <c r="E102" s="20"/>
      <c r="F102" s="20"/>
      <c r="G102" s="2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</row>
    <row r="103" ht="15.75" hidden="1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</row>
    <row r="104" ht="15.75" hidden="1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</row>
    <row r="105" ht="15.75" hidden="1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</row>
    <row r="106" ht="15.75" hidden="1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</row>
    <row r="107" ht="15.75" hidden="1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 ht="15.75" hidden="1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</row>
    <row r="109" ht="15.75" hidden="1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</row>
    <row r="110" ht="15.75" hidden="1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</row>
    <row r="111" ht="15.75" hidden="1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</row>
    <row r="112" ht="15.75" hidden="1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</row>
    <row r="113" ht="15.75" hidden="1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</row>
    <row r="114" ht="15.75" hidden="1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</row>
    <row r="115" ht="15.75" hidden="1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</row>
    <row r="116" ht="15.75" hidden="1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</row>
    <row r="117" ht="15.75" hidden="1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</row>
    <row r="118" ht="15.75" hidden="1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</row>
    <row r="119" ht="15.75" hidden="1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</row>
    <row r="120" ht="15.75" hidden="1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</row>
    <row r="121" ht="15.75" hidden="1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</row>
    <row r="122" ht="15.75" hidden="1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</row>
    <row r="123" ht="15.75" hidden="1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</row>
    <row r="124" ht="15.75" hidden="1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</row>
    <row r="125" ht="15.75" hidden="1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</row>
    <row r="126" ht="15.75" hidden="1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</row>
    <row r="127" ht="15.75" hidden="1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</row>
    <row r="128" ht="15.75" hidden="1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</row>
    <row r="129" ht="15.75" hidden="1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</row>
    <row r="130" ht="15.75" hidden="1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</row>
    <row r="131" ht="15.75" hidden="1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</row>
    <row r="132" ht="15.75" hidden="1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</row>
    <row r="133" ht="15.75" hidden="1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</row>
    <row r="134" ht="15.75" hidden="1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</row>
    <row r="135" ht="15.75" hidden="1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</row>
    <row r="136" ht="15.75" hidden="1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</row>
    <row r="137" ht="15.75" hidden="1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</row>
    <row r="138" ht="15.75" hidden="1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 ht="15.75" hidden="1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</row>
    <row r="140" ht="15.75" hidden="1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</row>
    <row r="141" ht="15.75" hidden="1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</row>
    <row r="142" ht="15.75" hidden="1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</row>
    <row r="143" ht="15.75" hidden="1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</row>
    <row r="144" ht="15.75" hidden="1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</row>
    <row r="145" ht="15.75" hidden="1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</row>
    <row r="146" ht="15.75" hidden="1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</row>
    <row r="147" ht="15.75" hidden="1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</row>
    <row r="148" ht="15.75" hidden="1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</row>
    <row r="149" ht="15.75" hidden="1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</row>
    <row r="150" ht="15.75" hidden="1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</row>
    <row r="151" ht="15.75" hidden="1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</row>
    <row r="152" ht="15.75" hidden="1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</row>
    <row r="153" ht="15.75" hidden="1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</row>
    <row r="154" ht="15.75" hidden="1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</row>
    <row r="155" ht="15.75" hidden="1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</row>
    <row r="156" ht="15.75" hidden="1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</row>
    <row r="157" ht="15.75" hidden="1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</row>
    <row r="158" ht="15.75" hidden="1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</row>
    <row r="159" ht="15.75" hidden="1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</row>
    <row r="160" ht="15.75" hidden="1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</row>
    <row r="161" ht="15.75" hidden="1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</row>
    <row r="162" ht="15.75" hidden="1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</row>
    <row r="163" ht="15.75" hidden="1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</row>
    <row r="164" ht="15.75" hidden="1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</row>
    <row r="165" ht="15.75" hidden="1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</row>
    <row r="166" ht="15.75" hidden="1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</row>
    <row r="167" ht="15.75" hidden="1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</row>
    <row r="168" ht="15.75" hidden="1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</row>
    <row r="169" ht="15.75" hidden="1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</row>
    <row r="170" ht="15.75" hidden="1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</row>
    <row r="171" ht="15.75" hidden="1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</row>
    <row r="172" ht="15.75" hidden="1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</row>
    <row r="173" ht="15.75" hidden="1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</row>
    <row r="174" ht="15.75" hidden="1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</row>
    <row r="175" ht="15.75" hidden="1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</row>
    <row r="176" ht="15.75" hidden="1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</row>
    <row r="177" ht="15.75" hidden="1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</row>
    <row r="178" ht="15.75" hidden="1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</row>
    <row r="179" ht="15.75" hidden="1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</row>
    <row r="180" ht="15.75" hidden="1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</row>
    <row r="181" ht="15.75" hidden="1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</row>
    <row r="182" ht="15.75" hidden="1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</row>
    <row r="183" ht="15.75" hidden="1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</row>
    <row r="184" ht="15.75" hidden="1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</row>
    <row r="185" ht="15.75" hidden="1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 ht="15.75" hidden="1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</row>
    <row r="187" ht="15.75" hidden="1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</row>
    <row r="188" ht="15.75" hidden="1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</row>
    <row r="189" ht="15.75" hidden="1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</row>
    <row r="190" ht="15.75" hidden="1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</row>
    <row r="191" ht="15.75" hidden="1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</row>
    <row r="192" ht="15.75" hidden="1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</row>
    <row r="193" ht="15.75" hidden="1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</row>
    <row r="194" ht="15.75" hidden="1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</row>
    <row r="195" ht="15.75" hidden="1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</row>
    <row r="196" ht="15.75" hidden="1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</row>
    <row r="197" ht="15.75" hidden="1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</row>
    <row r="198" ht="15.75" hidden="1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</row>
    <row r="199" ht="15.75" hidden="1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</row>
    <row r="200" ht="15.75" hidden="1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</row>
    <row r="201" ht="15.75" hidden="1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</row>
    <row r="202" ht="15.75" hidden="1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</row>
    <row r="203" ht="15.75" hidden="1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</row>
    <row r="204" ht="15.75" hidden="1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</row>
    <row r="205" ht="15.75" hidden="1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</row>
    <row r="206" ht="15.75" hidden="1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</row>
    <row r="207" ht="15.75" hidden="1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</row>
    <row r="208" ht="15.75" hidden="1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 ht="15.75" hidden="1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</row>
    <row r="210" ht="15.75" hidden="1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</row>
    <row r="211" ht="15.75" hidden="1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</row>
    <row r="212" ht="15.75" hidden="1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</row>
    <row r="213" ht="15.75" hidden="1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</row>
    <row r="214" ht="15.75" hidden="1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</row>
    <row r="215" ht="15.75" hidden="1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</row>
    <row r="216" ht="15.75" hidden="1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</row>
    <row r="217" ht="15.75" hidden="1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</row>
    <row r="218" ht="15.75" hidden="1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</row>
    <row r="219" ht="15.75" hidden="1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</row>
    <row r="220" ht="15.75" hidden="1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</row>
    <row r="221" ht="15.75" hidden="1" customHeight="1">
      <c r="A221" s="20"/>
      <c r="B221" s="20"/>
      <c r="C221" s="20"/>
      <c r="D221" s="20"/>
      <c r="E221" s="20"/>
      <c r="F221" s="20"/>
      <c r="G221" s="20"/>
      <c r="H221" s="20"/>
      <c r="I221" s="20"/>
      <c r="J221" s="20"/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</row>
    <row r="222" ht="15.75" hidden="1" customHeight="1">
      <c r="A222" s="20"/>
      <c r="B222" s="20"/>
      <c r="C222" s="20"/>
      <c r="D222" s="20"/>
      <c r="E222" s="20"/>
      <c r="F222" s="20"/>
      <c r="G222" s="20"/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</row>
    <row r="223" ht="15.75" hidden="1" customHeight="1">
      <c r="A223" s="20"/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</row>
    <row r="224" ht="15.75" hidden="1" customHeight="1">
      <c r="A224" s="20"/>
      <c r="B224" s="20"/>
      <c r="C224" s="20"/>
      <c r="D224" s="20"/>
      <c r="E224" s="20"/>
      <c r="F224" s="20"/>
      <c r="G224" s="20"/>
      <c r="H224" s="20"/>
      <c r="I224" s="20"/>
      <c r="J224" s="20"/>
      <c r="K224" s="20"/>
      <c r="L224" s="20"/>
      <c r="M224" s="20"/>
      <c r="N224" s="20"/>
      <c r="O224" s="20"/>
      <c r="P224" s="20"/>
      <c r="Q224" s="20"/>
      <c r="R224" s="20"/>
      <c r="S224" s="20"/>
      <c r="T224" s="20"/>
      <c r="U224" s="20"/>
      <c r="V224" s="20"/>
      <c r="W224" s="20"/>
      <c r="X224" s="20"/>
      <c r="Y224" s="20"/>
      <c r="Z224" s="20"/>
    </row>
    <row r="225" ht="15.75" hidden="1" customHeight="1">
      <c r="A225" s="20"/>
      <c r="B225" s="20"/>
      <c r="C225" s="20"/>
      <c r="D225" s="20"/>
      <c r="E225" s="20"/>
      <c r="F225" s="20"/>
      <c r="G225" s="20"/>
      <c r="H225" s="20"/>
      <c r="I225" s="20"/>
      <c r="J225" s="20"/>
      <c r="K225" s="20"/>
      <c r="L225" s="20"/>
      <c r="M225" s="20"/>
      <c r="N225" s="20"/>
      <c r="O225" s="20"/>
      <c r="P225" s="20"/>
      <c r="Q225" s="20"/>
      <c r="R225" s="20"/>
      <c r="S225" s="20"/>
      <c r="T225" s="20"/>
      <c r="U225" s="20"/>
      <c r="V225" s="20"/>
      <c r="W225" s="20"/>
      <c r="X225" s="20"/>
      <c r="Y225" s="20"/>
      <c r="Z225" s="20"/>
    </row>
    <row r="226" ht="15.75" hidden="1" customHeight="1">
      <c r="A226" s="20"/>
      <c r="B226" s="20"/>
      <c r="C226" s="20"/>
      <c r="D226" s="20"/>
      <c r="E226" s="20"/>
      <c r="F226" s="20"/>
      <c r="G226" s="20"/>
      <c r="H226" s="20"/>
      <c r="I226" s="20"/>
      <c r="J226" s="20"/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</row>
    <row r="227" ht="15.75" hidden="1" customHeight="1">
      <c r="A227" s="20"/>
      <c r="B227" s="20"/>
      <c r="C227" s="20"/>
      <c r="D227" s="20"/>
      <c r="E227" s="20"/>
      <c r="F227" s="20"/>
      <c r="G227" s="20"/>
      <c r="H227" s="20"/>
      <c r="I227" s="20"/>
      <c r="J227" s="20"/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</row>
    <row r="228" ht="15.75" hidden="1" customHeight="1">
      <c r="A228" s="20"/>
      <c r="B228" s="20"/>
      <c r="C228" s="20"/>
      <c r="D228" s="20"/>
      <c r="E228" s="20"/>
      <c r="F228" s="20"/>
      <c r="G228" s="20"/>
      <c r="H228" s="20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</row>
    <row r="229" ht="15.75" customHeight="1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75" customHeight="1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75" customHeight="1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75" customHeight="1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75" customHeight="1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75" customHeight="1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75" customHeight="1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75" customHeight="1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75" customHeight="1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75" customHeight="1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75" customHeight="1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75" customHeight="1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75" customHeight="1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75" customHeight="1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75" customHeight="1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75" customHeight="1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7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75" customHeight="1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75" customHeight="1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75" customHeight="1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75" customHeight="1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75" customHeight="1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75" customHeight="1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75" customHeight="1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75" customHeight="1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75" customHeight="1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75" customHeight="1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75" customHeight="1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75" customHeight="1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75" customHeight="1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75" customHeight="1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75" customHeight="1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75" customHeight="1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75" customHeight="1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75" customHeight="1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75" customHeight="1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75" customHeight="1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7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75" customHeight="1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75" customHeight="1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75" customHeight="1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75" customHeight="1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75" customHeight="1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75" customHeight="1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75" customHeight="1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75" customHeight="1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75" customHeight="1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75" customHeight="1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75" customHeight="1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75" customHeight="1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75" customHeight="1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75" customHeight="1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75" customHeight="1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75" customHeight="1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75" customHeight="1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75" customHeight="1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7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75" customHeight="1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75" customHeight="1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75" customHeight="1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75" customHeight="1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75" customHeight="1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75" customHeight="1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75" customHeight="1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75" customHeight="1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7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75" customHeight="1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75" customHeight="1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75" customHeight="1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75" customHeight="1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75" customHeight="1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75" customHeight="1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7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75" customHeight="1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75" customHeight="1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75" customHeight="1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5.75" customHeight="1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 ht="15.75" customHeight="1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 ht="15.75" customHeight="1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 ht="15.7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 ht="15.75" customHeight="1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 ht="15.75" customHeight="1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 ht="15.75" customHeight="1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 ht="15.75" customHeight="1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 ht="15.75" customHeight="1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 ht="15.75" customHeight="1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 ht="15.75" customHeight="1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 ht="15.75" customHeight="1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 ht="15.75" customHeight="1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 ht="15.75" customHeight="1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 ht="15.75" customHeight="1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 ht="15.75" customHeight="1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 ht="15.75" customHeight="1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 ht="15.75" customHeight="1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 ht="15.75" customHeight="1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 ht="15.75" customHeight="1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 ht="15.75" customHeight="1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 ht="15.75" customHeight="1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 ht="15.75" customHeight="1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 ht="15.75" customHeight="1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 ht="15.75" customHeight="1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 ht="15.75" customHeight="1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 ht="15.75" customHeight="1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 ht="15.75" customHeight="1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 ht="15.75" customHeight="1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 ht="15.75" customHeight="1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 ht="15.75" customHeight="1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 ht="15.75" customHeight="1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 ht="15.75" customHeight="1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 ht="15.75" customHeight="1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 ht="15.75" customHeight="1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 ht="15.75" customHeight="1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 ht="15.75" customHeight="1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 ht="15.75" customHeight="1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 ht="15.75" customHeight="1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 ht="15.75" customHeight="1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 ht="15.75" customHeight="1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 ht="15.75" customHeight="1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 ht="15.75" customHeight="1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 ht="15.75" customHeight="1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 ht="15.75" customHeight="1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 ht="15.75" customHeight="1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 ht="15.75" customHeight="1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 ht="15.75" customHeight="1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 ht="15.75" customHeight="1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 ht="15.75" customHeight="1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 ht="15.75" customHeight="1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 ht="15.75" customHeight="1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 ht="15.75" customHeight="1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 ht="15.75" customHeight="1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 ht="15.75" customHeight="1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 ht="15.75" customHeight="1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 ht="15.75" customHeight="1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 ht="15.75" customHeight="1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 ht="15.75" customHeight="1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 ht="15.75" customHeight="1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 ht="15.75" customHeight="1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 ht="15.75" customHeight="1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 ht="15.75" customHeight="1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 ht="15.75" customHeight="1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 ht="15.75" customHeight="1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 ht="15.75" customHeight="1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 ht="15.75" customHeight="1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 ht="15.75" customHeight="1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 ht="15.75" customHeight="1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 ht="15.75" customHeight="1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 ht="15.75" customHeight="1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 ht="15.75" customHeight="1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 ht="15.75" customHeight="1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 ht="15.75" customHeight="1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 ht="15.75" customHeight="1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 ht="15.75" customHeight="1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 ht="15.75" customHeight="1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 ht="15.75" customHeight="1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 ht="15.75" customHeight="1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 ht="15.75" customHeight="1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 ht="15.75" customHeight="1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 ht="15.75" customHeight="1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 ht="15.75" customHeight="1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 ht="15.75" customHeight="1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 ht="15.75" customHeight="1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 ht="15.75" customHeight="1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 ht="15.75" customHeight="1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 ht="15.75" customHeight="1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 ht="15.75" customHeight="1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 ht="15.75" customHeight="1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 ht="15.75" customHeight="1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 ht="15.75" customHeight="1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 ht="15.75" customHeight="1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 ht="15.75" customHeight="1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 ht="15.75" customHeight="1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 ht="15.75" customHeight="1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 ht="15.75" customHeight="1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 ht="15.75" customHeight="1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 ht="15.75" customHeight="1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 ht="15.75" customHeight="1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 ht="15.75" customHeight="1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 ht="15.75" customHeight="1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 ht="15.75" customHeight="1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 ht="15.75" customHeight="1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 ht="15.75" customHeight="1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 ht="15.75" customHeight="1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 ht="15.75" customHeight="1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 ht="15.75" customHeight="1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 ht="15.75" customHeight="1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 ht="15.75" customHeight="1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 ht="15.75" customHeight="1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 ht="15.75" customHeight="1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 ht="15.75" customHeight="1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 ht="15.75" customHeight="1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 ht="15.75" customHeight="1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 ht="15.75" customHeight="1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 ht="15.75" customHeight="1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 ht="15.75" customHeight="1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 ht="15.75" customHeight="1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 ht="15.75" customHeight="1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 ht="15.75" customHeight="1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 ht="15.75" customHeight="1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 ht="15.75" customHeight="1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 ht="15.75" customHeight="1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 ht="15.75" customHeight="1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 ht="15.75" customHeight="1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 ht="15.75" customHeight="1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 ht="15.75" customHeight="1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 ht="15.75" customHeight="1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 ht="15.75" customHeight="1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 ht="15.75" customHeight="1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 ht="15.75" customHeight="1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 ht="15.75" customHeight="1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 ht="15.75" customHeight="1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 ht="15.75" customHeight="1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 ht="15.75" customHeight="1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 ht="15.75" customHeight="1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 ht="15.75" customHeight="1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 ht="15.75" customHeight="1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 ht="15.75" customHeight="1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 ht="15.75" customHeight="1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 ht="15.75" customHeight="1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 ht="15.75" customHeight="1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 ht="15.75" customHeight="1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 ht="15.75" customHeight="1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 ht="15.75" customHeight="1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 ht="15.75" customHeight="1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 ht="15.75" customHeight="1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 ht="15.75" customHeight="1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 ht="15.75" customHeight="1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 ht="15.75" customHeight="1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 ht="15.75" customHeight="1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 ht="15.75" customHeight="1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 ht="15.75" customHeight="1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 ht="15.75" customHeight="1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 ht="15.75" customHeight="1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 ht="15.75" customHeight="1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 ht="15.75" customHeight="1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 ht="15.75" customHeight="1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 ht="15.75" customHeight="1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 ht="15.75" customHeight="1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 ht="15.75" customHeight="1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 ht="15.75" customHeight="1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 ht="15.75" customHeight="1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 ht="15.75" customHeight="1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 ht="15.75" customHeight="1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 ht="15.75" customHeight="1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 ht="15.75" customHeight="1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 ht="15.75" customHeight="1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 ht="15.75" customHeight="1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 ht="15.75" customHeight="1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 ht="15.75" customHeight="1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 ht="15.75" customHeight="1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 ht="15.75" customHeight="1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 ht="15.75" customHeight="1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 ht="15.75" customHeight="1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 ht="15.75" customHeight="1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 ht="15.75" customHeight="1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 ht="15.75" customHeight="1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 ht="15.75" customHeight="1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 ht="15.75" customHeight="1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 ht="15.75" customHeight="1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 ht="15.75" customHeight="1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 ht="15.75" customHeight="1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 ht="15.75" customHeight="1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 ht="15.75" customHeight="1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 ht="15.75" customHeight="1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 ht="15.75" customHeight="1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 ht="15.75" customHeight="1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 ht="15.75" customHeight="1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 ht="15.75" customHeight="1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 ht="15.75" customHeight="1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 ht="15.75" customHeight="1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 ht="15.75" customHeight="1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 ht="15.75" customHeight="1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 ht="15.75" customHeight="1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 ht="15.75" customHeight="1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 ht="15.75" customHeight="1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 ht="15.75" customHeight="1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 ht="15.75" customHeight="1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 ht="15.75" customHeight="1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 ht="15.75" customHeight="1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 ht="15.75" customHeight="1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 ht="15.75" customHeight="1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 ht="15.75" customHeight="1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 ht="15.75" customHeight="1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 ht="15.75" customHeight="1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 ht="15.75" customHeight="1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 ht="15.75" customHeight="1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 ht="15.75" customHeight="1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 ht="15.75" customHeight="1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 ht="15.75" customHeight="1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 ht="15.75" customHeight="1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 ht="15.75" customHeight="1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 ht="15.75" customHeight="1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 ht="15.75" customHeight="1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 ht="15.75" customHeight="1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 ht="15.75" customHeight="1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 ht="15.75" customHeight="1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 ht="15.75" customHeight="1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 ht="15.75" customHeight="1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 ht="15.75" customHeight="1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 ht="15.75" customHeight="1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 ht="15.75" customHeight="1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 ht="15.75" customHeight="1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 ht="15.75" customHeight="1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 ht="15.75" customHeight="1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 ht="15.75" customHeight="1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 ht="15.75" customHeight="1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 ht="15.75" customHeight="1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 ht="15.75" customHeight="1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 ht="15.75" customHeight="1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 ht="15.75" customHeight="1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 ht="15.75" customHeight="1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 ht="15.75" customHeight="1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 ht="15.75" customHeight="1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 ht="15.75" customHeight="1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 ht="15.75" customHeight="1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 ht="15.75" customHeight="1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 ht="15.75" customHeight="1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 ht="15.75" customHeight="1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 ht="15.75" customHeight="1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 ht="15.75" customHeight="1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 ht="15.75" customHeight="1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 ht="15.75" customHeight="1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 ht="15.75" customHeight="1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 ht="15.75" customHeight="1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 ht="15.75" customHeight="1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 ht="15.75" customHeight="1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 ht="15.75" customHeight="1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 ht="15.75" customHeight="1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 ht="15.75" customHeight="1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 ht="15.75" customHeight="1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 ht="15.75" customHeight="1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 ht="15.75" customHeight="1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 ht="15.75" customHeight="1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 ht="15.75" customHeight="1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 ht="15.75" customHeight="1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 ht="15.75" customHeight="1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 ht="15.75" customHeight="1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 ht="15.75" customHeight="1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 ht="15.75" customHeight="1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 ht="15.75" customHeight="1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 ht="15.75" customHeight="1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 ht="15.75" customHeight="1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 ht="15.75" customHeight="1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 ht="15.75" customHeight="1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 ht="15.75" customHeight="1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 ht="15.75" customHeight="1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 ht="15.75" customHeight="1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 ht="15.75" customHeight="1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 ht="15.75" customHeight="1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 ht="15.75" customHeight="1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 ht="15.75" customHeight="1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 ht="15.75" customHeight="1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 ht="15.75" customHeight="1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 ht="15.75" customHeight="1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 ht="15.75" customHeight="1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 ht="15.75" customHeight="1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 ht="15.75" customHeight="1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 ht="15.75" customHeight="1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 ht="15.75" customHeight="1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 ht="15.75" customHeight="1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 ht="15.75" customHeight="1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 ht="15.75" customHeight="1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 ht="15.75" customHeight="1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 ht="15.75" customHeight="1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 ht="15.75" customHeight="1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 ht="15.75" customHeight="1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 ht="15.75" customHeight="1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 ht="15.75" customHeight="1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 ht="15.75" customHeight="1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 ht="15.75" customHeight="1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 ht="15.75" customHeight="1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 ht="15.75" customHeight="1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 ht="15.75" customHeight="1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 ht="15.75" customHeight="1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 ht="15.75" customHeight="1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 ht="15.75" customHeight="1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 ht="15.75" customHeight="1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 ht="15.75" customHeight="1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 ht="15.75" customHeight="1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 ht="15.75" customHeight="1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 ht="15.75" customHeight="1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 ht="15.75" customHeight="1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 ht="15.75" customHeight="1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 ht="15.75" customHeight="1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 ht="15.75" customHeight="1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 ht="15.75" customHeight="1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 ht="15.75" customHeight="1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 ht="15.75" customHeight="1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 ht="15.75" customHeight="1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 ht="15.75" customHeight="1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 ht="15.75" customHeight="1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 ht="15.75" customHeight="1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 ht="15.75" customHeight="1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 ht="15.75" customHeight="1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 ht="15.75" customHeight="1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 ht="15.75" customHeight="1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 ht="15.75" customHeight="1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 ht="15.75" customHeight="1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 ht="15.75" customHeight="1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 ht="15.75" customHeight="1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 ht="15.75" customHeight="1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 ht="15.75" customHeight="1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 ht="15.75" customHeight="1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 ht="15.75" customHeight="1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 ht="15.75" customHeight="1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 ht="15.75" customHeight="1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 ht="15.75" customHeight="1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 ht="15.75" customHeight="1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 ht="15.75" customHeight="1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 ht="15.75" customHeight="1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 ht="15.75" customHeight="1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 ht="15.75" customHeight="1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 ht="15.75" customHeight="1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 ht="15.75" customHeight="1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 ht="15.75" customHeight="1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 ht="15.75" customHeight="1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 ht="15.75" customHeight="1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 ht="15.75" customHeight="1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 ht="15.75" customHeight="1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 ht="15.75" customHeight="1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 ht="15.75" customHeight="1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 ht="15.75" customHeight="1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 ht="15.75" customHeight="1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 ht="15.75" customHeight="1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 ht="15.75" customHeight="1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 ht="15.75" customHeight="1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 ht="15.75" customHeight="1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 ht="15.75" customHeight="1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 ht="15.75" customHeight="1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 ht="15.75" customHeight="1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 ht="15.75" customHeight="1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 ht="15.75" customHeight="1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 ht="15.75" customHeight="1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 ht="15.75" customHeight="1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 ht="15.75" customHeight="1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 ht="15.75" customHeight="1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 ht="15.75" customHeight="1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 ht="15.75" customHeight="1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 ht="15.75" customHeight="1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 ht="15.75" customHeight="1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 ht="15.75" customHeight="1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 ht="15.75" customHeight="1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 ht="15.75" customHeight="1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 ht="15.75" customHeight="1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 ht="15.75" customHeight="1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 ht="15.75" customHeight="1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 ht="15.75" customHeight="1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 ht="15.75" customHeight="1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 ht="15.75" customHeight="1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 ht="15.75" customHeight="1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 ht="15.75" customHeight="1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 ht="15.75" customHeight="1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 ht="15.75" customHeight="1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 ht="15.75" customHeight="1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 ht="15.75" customHeight="1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 ht="15.75" customHeight="1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 ht="15.75" customHeight="1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 ht="15.75" customHeight="1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 ht="15.75" customHeight="1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 ht="15.75" customHeight="1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 ht="15.75" customHeight="1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 ht="15.75" customHeight="1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 ht="15.75" customHeight="1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 ht="15.75" customHeight="1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 ht="15.75" customHeight="1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 ht="15.75" customHeight="1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 ht="15.75" customHeight="1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 ht="15.75" customHeight="1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 ht="15.75" customHeight="1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 ht="15.75" customHeight="1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 ht="15.75" customHeight="1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 ht="15.75" customHeight="1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 ht="15.75" customHeight="1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 ht="15.75" customHeight="1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 ht="15.75" customHeight="1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 ht="15.75" customHeight="1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 ht="15.75" customHeight="1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 ht="15.75" customHeight="1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 ht="15.75" customHeight="1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 ht="15.75" customHeight="1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 ht="15.75" customHeight="1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 ht="15.75" customHeight="1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 ht="15.75" customHeight="1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 ht="15.75" customHeight="1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 ht="15.75" customHeight="1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 ht="15.75" customHeight="1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 ht="15.75" customHeight="1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 ht="15.75" customHeight="1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 ht="15.75" customHeight="1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 ht="15.75" customHeight="1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 ht="15.75" customHeight="1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 ht="15.75" customHeight="1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 ht="15.75" customHeight="1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 ht="15.75" customHeight="1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 ht="15.75" customHeight="1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 ht="15.75" customHeight="1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 ht="15.75" customHeight="1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 ht="15.75" customHeight="1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 ht="15.75" customHeight="1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 ht="15.75" customHeight="1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 ht="15.75" customHeight="1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 ht="15.75" customHeight="1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 ht="15.75" customHeight="1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 ht="15.75" customHeight="1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 ht="15.75" customHeight="1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 ht="15.75" customHeight="1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 ht="15.75" customHeight="1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 ht="15.75" customHeight="1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 ht="15.75" customHeight="1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 ht="15.75" customHeight="1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 ht="15.75" customHeight="1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 ht="15.75" customHeight="1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 ht="15.75" customHeight="1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 ht="15.75" customHeight="1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 ht="15.75" customHeight="1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 ht="15.75" customHeight="1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 ht="15.75" customHeight="1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 ht="15.75" customHeight="1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 ht="15.75" customHeight="1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 ht="15.75" customHeight="1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 ht="15.75" customHeight="1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 ht="15.75" customHeight="1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 ht="15.75" customHeight="1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 ht="15.75" customHeight="1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 ht="15.75" customHeight="1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 ht="15.75" customHeight="1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 ht="15.75" customHeight="1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 ht="15.75" customHeight="1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 ht="15.75" customHeight="1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 ht="15.75" customHeight="1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 ht="15.75" customHeight="1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 ht="15.75" customHeight="1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 ht="15.75" customHeight="1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 ht="15.75" customHeight="1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 ht="15.75" customHeight="1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 ht="15.75" customHeight="1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 ht="15.75" customHeight="1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 ht="15.75" customHeight="1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 ht="15.75" customHeight="1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 ht="15.75" customHeight="1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 ht="15.75" customHeight="1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 ht="15.75" customHeight="1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 ht="15.75" customHeight="1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 ht="15.75" customHeight="1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 ht="15.75" customHeight="1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 ht="15.75" customHeight="1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 ht="15.75" customHeight="1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 ht="15.75" customHeight="1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 ht="15.75" customHeight="1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 ht="15.75" customHeight="1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 ht="15.75" customHeight="1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 ht="15.75" customHeight="1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 ht="15.75" customHeight="1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 ht="15.75" customHeight="1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 ht="15.75" customHeight="1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 ht="15.75" customHeight="1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 ht="15.75" customHeight="1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 ht="15.75" customHeight="1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 ht="15.75" customHeight="1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 ht="15.75" customHeight="1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 ht="15.75" customHeight="1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 ht="15.75" customHeight="1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 ht="15.75" customHeight="1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 ht="15.75" customHeight="1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 ht="15.75" customHeight="1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 ht="15.75" customHeight="1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 ht="15.75" customHeight="1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 ht="15.75" customHeight="1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 ht="15.75" customHeight="1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 ht="15.75" customHeight="1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 ht="15.75" customHeight="1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 ht="15.75" customHeight="1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 ht="15.75" customHeight="1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 ht="15.75" customHeight="1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 ht="15.75" customHeight="1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 ht="15.75" customHeight="1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 ht="15.75" customHeight="1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 ht="15.75" customHeight="1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 ht="15.75" customHeight="1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 ht="15.75" customHeight="1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 ht="15.75" customHeight="1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 ht="15.75" customHeight="1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 ht="15.75" customHeight="1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 ht="15.75" customHeight="1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 ht="15.75" customHeight="1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 ht="15.75" customHeight="1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 ht="15.75" customHeight="1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 ht="15.75" customHeight="1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 ht="15.75" customHeight="1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 ht="15.75" customHeight="1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 ht="15.75" customHeight="1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 ht="15.75" customHeight="1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 ht="15.75" customHeight="1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 ht="15.75" customHeight="1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 ht="15.75" customHeight="1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 ht="15.75" customHeight="1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 ht="15.75" customHeight="1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 ht="15.75" customHeight="1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 ht="15.75" customHeight="1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 ht="15.75" customHeight="1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 ht="15.75" customHeight="1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 ht="15.75" customHeight="1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 ht="15.75" customHeight="1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 ht="15.75" customHeight="1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 ht="15.75" customHeight="1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 ht="15.75" customHeight="1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 ht="15.75" customHeight="1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 ht="15.75" customHeight="1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 ht="15.75" customHeight="1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 ht="15.75" customHeight="1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 ht="15.75" customHeight="1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 ht="15.75" customHeight="1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 ht="15.75" customHeight="1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 ht="15.75" customHeight="1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 ht="15.75" customHeight="1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 ht="15.75" customHeight="1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 ht="15.75" customHeight="1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 ht="15.75" customHeight="1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 ht="15.75" customHeight="1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 ht="15.75" customHeight="1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 ht="15.75" customHeight="1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 ht="15.75" customHeight="1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 ht="15.75" customHeight="1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 ht="15.75" customHeight="1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 ht="15.75" customHeight="1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 ht="15.75" customHeight="1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 ht="15.75" customHeight="1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 ht="15.75" customHeight="1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 ht="15.75" customHeight="1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 ht="15.75" customHeight="1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 ht="15.75" customHeight="1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 ht="15.75" customHeight="1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 ht="15.75" customHeight="1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 ht="15.75" customHeight="1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 ht="15.75" customHeight="1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 ht="15.75" customHeight="1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 ht="15.75" customHeight="1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 ht="15.75" customHeight="1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 ht="15.75" customHeight="1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 ht="15.75" customHeight="1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 ht="15.75" customHeight="1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 ht="15.75" customHeight="1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 ht="15.75" customHeight="1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 ht="15.75" customHeight="1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 ht="15.75" customHeight="1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 ht="15.75" customHeight="1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 ht="15.75" customHeight="1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 ht="15.75" customHeight="1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 ht="15.75" customHeight="1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 ht="15.75" customHeight="1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 ht="15.75" customHeight="1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 ht="15.75" customHeight="1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 ht="15.75" customHeight="1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 ht="15.75" customHeight="1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 ht="15.75" customHeight="1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 ht="15.75" customHeight="1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 ht="15.75" customHeight="1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 ht="15.75" customHeight="1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 ht="15.75" customHeight="1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 ht="15.75" customHeight="1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 ht="15.75" customHeight="1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 ht="15.75" customHeight="1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 ht="15.75" customHeight="1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 ht="15.75" customHeight="1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 ht="15.75" customHeight="1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 ht="15.75" customHeight="1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 ht="15.75" customHeight="1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 ht="15.75" customHeight="1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 ht="15.75" customHeight="1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 ht="15.75" customHeight="1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 ht="15.75" customHeight="1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 ht="15.75" customHeight="1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 ht="15.75" customHeight="1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 ht="15.75" customHeight="1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 ht="15.75" customHeight="1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 ht="15.75" customHeight="1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 ht="15.75" customHeight="1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 ht="15.75" customHeight="1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 ht="15.75" customHeight="1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 ht="15.75" customHeight="1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 ht="15.75" customHeight="1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 ht="15.75" customHeight="1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 ht="15.75" customHeight="1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 ht="15.75" customHeight="1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 ht="15.75" customHeight="1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 ht="15.75" customHeight="1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 ht="15.75" customHeight="1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 ht="15.75" customHeight="1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 ht="15.75" customHeight="1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 ht="15.75" customHeight="1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 ht="15.75" customHeight="1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 ht="15.75" customHeight="1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 ht="15.75" customHeight="1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 ht="15.75" customHeight="1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 ht="15.75" customHeight="1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 ht="15.75" customHeight="1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 ht="15.75" customHeight="1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 ht="15.75" customHeight="1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 ht="15.75" customHeight="1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 ht="15.75" customHeight="1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 ht="15.75" customHeight="1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 ht="15.75" customHeight="1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 ht="15.75" customHeight="1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 ht="15.75" customHeight="1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 ht="15.75" customHeight="1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 ht="15.75" customHeight="1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 ht="15.75" customHeight="1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 ht="15.75" customHeight="1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 ht="15.75" customHeight="1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 ht="15.75" customHeight="1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 ht="15.75" customHeight="1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 ht="15.75" customHeight="1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 ht="15.75" customHeight="1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 ht="15.75" customHeight="1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 ht="15.75" customHeight="1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 ht="15.75" customHeight="1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 ht="15.75" customHeight="1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 ht="15.75" customHeight="1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 ht="15.75" customHeight="1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 ht="15.75" customHeight="1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 ht="15.75" customHeight="1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 ht="15.75" customHeight="1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 ht="15.75" customHeight="1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 ht="15.75" customHeight="1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 ht="15.75" customHeight="1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 ht="15.75" customHeight="1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 ht="15.75" customHeight="1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 ht="15.75" customHeight="1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 ht="15.75" customHeight="1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 ht="15.75" customHeight="1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 ht="15.75" customHeight="1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 ht="15.75" customHeight="1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 ht="15.75" customHeight="1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 ht="15.75" customHeight="1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 ht="15.75" customHeight="1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 ht="15.75" customHeight="1">
      <c r="A963" s="14"/>
      <c r="B963" s="14"/>
      <c r="C963" s="14"/>
      <c r="D963" s="14"/>
      <c r="E963" s="14"/>
      <c r="F963" s="14"/>
      <c r="G963" s="14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 ht="15.75" customHeight="1">
      <c r="A964" s="14"/>
      <c r="B964" s="14"/>
      <c r="C964" s="14"/>
      <c r="D964" s="14"/>
      <c r="E964" s="14"/>
      <c r="F964" s="14"/>
      <c r="G964" s="14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 ht="15.75" customHeight="1">
      <c r="A965" s="14"/>
      <c r="B965" s="14"/>
      <c r="C965" s="14"/>
      <c r="D965" s="14"/>
      <c r="E965" s="14"/>
      <c r="F965" s="14"/>
      <c r="G965" s="14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 ht="15.75" customHeight="1">
      <c r="A966" s="14"/>
      <c r="B966" s="14"/>
      <c r="C966" s="14"/>
      <c r="D966" s="14"/>
      <c r="E966" s="14"/>
      <c r="F966" s="14"/>
      <c r="G966" s="14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 ht="15.75" customHeight="1">
      <c r="A967" s="14"/>
      <c r="B967" s="14"/>
      <c r="C967" s="14"/>
      <c r="D967" s="14"/>
      <c r="E967" s="14"/>
      <c r="F967" s="14"/>
      <c r="G967" s="14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 ht="15.75" customHeight="1">
      <c r="A968" s="14"/>
      <c r="B968" s="14"/>
      <c r="C968" s="14"/>
      <c r="D968" s="14"/>
      <c r="E968" s="14"/>
      <c r="F968" s="14"/>
      <c r="G968" s="14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 ht="15.75" customHeight="1">
      <c r="A969" s="14"/>
      <c r="B969" s="14"/>
      <c r="C969" s="14"/>
      <c r="D969" s="14"/>
      <c r="E969" s="14"/>
      <c r="F969" s="14"/>
      <c r="G969" s="14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 ht="15.75" customHeight="1">
      <c r="A970" s="14"/>
      <c r="B970" s="14"/>
      <c r="C970" s="14"/>
      <c r="D970" s="14"/>
      <c r="E970" s="14"/>
      <c r="F970" s="14"/>
      <c r="G970" s="14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 ht="15.75" customHeight="1">
      <c r="A971" s="14"/>
      <c r="B971" s="14"/>
      <c r="C971" s="14"/>
      <c r="D971" s="14"/>
      <c r="E971" s="14"/>
      <c r="F971" s="14"/>
      <c r="G971" s="14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 ht="15.75" customHeight="1">
      <c r="A972" s="14"/>
      <c r="B972" s="14"/>
      <c r="C972" s="14"/>
      <c r="D972" s="14"/>
      <c r="E972" s="14"/>
      <c r="F972" s="14"/>
      <c r="G972" s="14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 ht="15.75" customHeight="1">
      <c r="A973" s="14"/>
      <c r="B973" s="14"/>
      <c r="C973" s="14"/>
      <c r="D973" s="14"/>
      <c r="E973" s="14"/>
      <c r="F973" s="14"/>
      <c r="G973" s="14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 ht="15.75" customHeight="1">
      <c r="A974" s="14"/>
      <c r="B974" s="14"/>
      <c r="C974" s="14"/>
      <c r="D974" s="14"/>
      <c r="E974" s="14"/>
      <c r="F974" s="14"/>
      <c r="G974" s="14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 ht="15.75" customHeight="1">
      <c r="A975" s="14"/>
      <c r="B975" s="14"/>
      <c r="C975" s="14"/>
      <c r="D975" s="14"/>
      <c r="E975" s="14"/>
      <c r="F975" s="14"/>
      <c r="G975" s="14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 ht="15.75" customHeight="1">
      <c r="A976" s="14"/>
      <c r="B976" s="14"/>
      <c r="C976" s="14"/>
      <c r="D976" s="14"/>
      <c r="E976" s="14"/>
      <c r="F976" s="14"/>
      <c r="G976" s="14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 ht="15.75" customHeight="1">
      <c r="A977" s="14"/>
      <c r="B977" s="14"/>
      <c r="C977" s="14"/>
      <c r="D977" s="14"/>
      <c r="E977" s="14"/>
      <c r="F977" s="14"/>
      <c r="G977" s="14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 ht="15.75" customHeight="1">
      <c r="A978" s="14"/>
      <c r="B978" s="14"/>
      <c r="C978" s="14"/>
      <c r="D978" s="14"/>
      <c r="E978" s="14"/>
      <c r="F978" s="14"/>
      <c r="G978" s="14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 ht="15.75" customHeight="1">
      <c r="A979" s="14"/>
      <c r="B979" s="14"/>
      <c r="C979" s="14"/>
      <c r="D979" s="14"/>
      <c r="E979" s="14"/>
      <c r="F979" s="14"/>
      <c r="G979" s="14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 ht="15.75" customHeight="1">
      <c r="A980" s="14"/>
      <c r="B980" s="14"/>
      <c r="C980" s="14"/>
      <c r="D980" s="14"/>
      <c r="E980" s="14"/>
      <c r="F980" s="14"/>
      <c r="G980" s="14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 ht="15.75" customHeight="1">
      <c r="A981" s="14"/>
      <c r="B981" s="14"/>
      <c r="C981" s="14"/>
      <c r="D981" s="14"/>
      <c r="E981" s="14"/>
      <c r="F981" s="14"/>
      <c r="G981" s="14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 ht="15.75" customHeight="1">
      <c r="A982" s="14"/>
      <c r="B982" s="14"/>
      <c r="C982" s="14"/>
      <c r="D982" s="14"/>
      <c r="E982" s="14"/>
      <c r="F982" s="14"/>
      <c r="G982" s="14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 ht="15.75" customHeight="1">
      <c r="A983" s="14"/>
      <c r="B983" s="14"/>
      <c r="C983" s="14"/>
      <c r="D983" s="14"/>
      <c r="E983" s="14"/>
      <c r="F983" s="14"/>
      <c r="G983" s="14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 ht="15.75" customHeight="1">
      <c r="A984" s="14"/>
      <c r="B984" s="14"/>
      <c r="C984" s="14"/>
      <c r="D984" s="14"/>
      <c r="E984" s="14"/>
      <c r="F984" s="14"/>
      <c r="G984" s="14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 ht="15.75" customHeight="1">
      <c r="A985" s="14"/>
      <c r="B985" s="14"/>
      <c r="C985" s="14"/>
      <c r="D985" s="14"/>
      <c r="E985" s="14"/>
      <c r="F985" s="14"/>
      <c r="G985" s="14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 ht="15.75" customHeight="1">
      <c r="A986" s="14"/>
      <c r="B986" s="14"/>
      <c r="C986" s="14"/>
      <c r="D986" s="14"/>
      <c r="E986" s="14"/>
      <c r="F986" s="14"/>
      <c r="G986" s="14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 ht="15.75" customHeight="1">
      <c r="A987" s="14"/>
      <c r="B987" s="14"/>
      <c r="C987" s="14"/>
      <c r="D987" s="14"/>
      <c r="E987" s="14"/>
      <c r="F987" s="14"/>
      <c r="G987" s="14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 ht="15.75" customHeight="1">
      <c r="A988" s="14"/>
      <c r="B988" s="14"/>
      <c r="C988" s="14"/>
      <c r="D988" s="14"/>
      <c r="E988" s="14"/>
      <c r="F988" s="14"/>
      <c r="G988" s="14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 ht="15.75" customHeight="1">
      <c r="A989" s="14"/>
      <c r="B989" s="14"/>
      <c r="C989" s="14"/>
      <c r="D989" s="14"/>
      <c r="E989" s="14"/>
      <c r="F989" s="14"/>
      <c r="G989" s="14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 ht="15.75" customHeight="1">
      <c r="A990" s="14"/>
      <c r="B990" s="14"/>
      <c r="C990" s="14"/>
      <c r="D990" s="14"/>
      <c r="E990" s="14"/>
      <c r="F990" s="14"/>
      <c r="G990" s="14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 ht="15.75" customHeight="1">
      <c r="A991" s="14"/>
      <c r="B991" s="14"/>
      <c r="C991" s="14"/>
      <c r="D991" s="14"/>
      <c r="E991" s="14"/>
      <c r="F991" s="14"/>
      <c r="G991" s="14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 ht="15.75" customHeight="1">
      <c r="A992" s="14"/>
      <c r="B992" s="14"/>
      <c r="C992" s="14"/>
      <c r="D992" s="14"/>
      <c r="E992" s="14"/>
      <c r="F992" s="14"/>
      <c r="G992" s="14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 ht="15.75" customHeight="1">
      <c r="A993" s="14"/>
      <c r="B993" s="14"/>
      <c r="C993" s="14"/>
      <c r="D993" s="14"/>
      <c r="E993" s="14"/>
      <c r="F993" s="14"/>
      <c r="G993" s="14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 ht="15.75" customHeight="1">
      <c r="A994" s="14"/>
      <c r="B994" s="14"/>
      <c r="C994" s="14"/>
      <c r="D994" s="14"/>
      <c r="E994" s="14"/>
      <c r="F994" s="14"/>
      <c r="G994" s="14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 ht="15.75" customHeight="1">
      <c r="A995" s="14"/>
      <c r="B995" s="14"/>
      <c r="C995" s="14"/>
      <c r="D995" s="14"/>
      <c r="E995" s="14"/>
      <c r="F995" s="14"/>
      <c r="G995" s="14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 ht="15.75" customHeight="1">
      <c r="A996" s="14"/>
      <c r="B996" s="14"/>
      <c r="C996" s="14"/>
      <c r="D996" s="14"/>
      <c r="E996" s="14"/>
      <c r="F996" s="14"/>
      <c r="G996" s="14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 ht="15.75" customHeight="1">
      <c r="A997" s="14"/>
      <c r="B997" s="14"/>
      <c r="C997" s="14"/>
      <c r="D997" s="14"/>
      <c r="E997" s="14"/>
      <c r="F997" s="14"/>
      <c r="G997" s="14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 ht="15.75" customHeight="1">
      <c r="A998" s="14"/>
      <c r="B998" s="14"/>
      <c r="C998" s="14"/>
      <c r="D998" s="14"/>
      <c r="E998" s="14"/>
      <c r="F998" s="14"/>
      <c r="G998" s="14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 ht="15.75" customHeight="1">
      <c r="A999" s="14"/>
      <c r="B999" s="14"/>
      <c r="C999" s="14"/>
      <c r="D999" s="14"/>
      <c r="E999" s="14"/>
      <c r="F999" s="14"/>
      <c r="G999" s="14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  <row r="1000" ht="15.75" customHeight="1">
      <c r="A1000" s="14"/>
      <c r="B1000" s="14"/>
      <c r="C1000" s="14"/>
      <c r="D1000" s="14"/>
      <c r="E1000" s="14"/>
      <c r="F1000" s="14"/>
      <c r="G1000" s="14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</row>
  </sheetData>
  <printOptions/>
  <pageMargins bottom="0.75" footer="0.0" header="0.0" left="0.7" right="0.7" top="0.75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1" width="14.75"/>
    <col customWidth="1" min="2" max="19" width="20.38"/>
    <col customWidth="1" hidden="1" min="20" max="26" width="12.63"/>
  </cols>
  <sheetData>
    <row r="1" ht="15.75" customHeight="1">
      <c r="A1" s="23" t="s">
        <v>0</v>
      </c>
      <c r="B1" s="23" t="s">
        <v>38</v>
      </c>
      <c r="C1" s="23" t="s">
        <v>39</v>
      </c>
      <c r="D1" s="23" t="s">
        <v>40</v>
      </c>
      <c r="E1" s="23" t="s">
        <v>41</v>
      </c>
      <c r="F1" s="23" t="s">
        <v>42</v>
      </c>
      <c r="G1" s="23" t="s">
        <v>43</v>
      </c>
      <c r="H1" s="23" t="s">
        <v>44</v>
      </c>
      <c r="I1" s="23" t="s">
        <v>45</v>
      </c>
      <c r="J1" s="23" t="s">
        <v>46</v>
      </c>
      <c r="K1" s="23" t="s">
        <v>47</v>
      </c>
      <c r="L1" s="23" t="s">
        <v>48</v>
      </c>
      <c r="M1" s="23" t="s">
        <v>49</v>
      </c>
      <c r="N1" s="23" t="s">
        <v>50</v>
      </c>
      <c r="O1" s="23" t="s">
        <v>51</v>
      </c>
      <c r="P1" s="23" t="s">
        <v>52</v>
      </c>
      <c r="Q1" s="23" t="s">
        <v>53</v>
      </c>
      <c r="R1" s="23" t="s">
        <v>54</v>
      </c>
      <c r="S1" s="23" t="s">
        <v>55</v>
      </c>
      <c r="T1" s="24"/>
      <c r="U1" s="24"/>
      <c r="V1" s="24"/>
      <c r="W1" s="24"/>
      <c r="X1" s="24"/>
      <c r="Y1" s="24"/>
      <c r="Z1" s="24"/>
    </row>
    <row r="2" ht="15.75" customHeight="1">
      <c r="A2" s="25">
        <v>1.0</v>
      </c>
      <c r="B2" s="26">
        <v>245.0</v>
      </c>
      <c r="C2" s="26"/>
      <c r="D2" s="26"/>
      <c r="E2" s="26"/>
      <c r="F2" s="26">
        <f>ABS(Forecast_Model!J2-Forecast_Model!N2)</f>
        <v>0</v>
      </c>
      <c r="G2" s="26">
        <f>ABS(Forecast_Model!C2-Forecast_Model!H2)</f>
        <v>33.35869565</v>
      </c>
      <c r="H2" s="26">
        <v>532.0</v>
      </c>
      <c r="I2" s="26"/>
      <c r="J2" s="26"/>
      <c r="K2" s="26"/>
      <c r="L2" s="26">
        <f>ABS(Forecast_Model!J2-Forecast_Model!N2)</f>
        <v>0</v>
      </c>
      <c r="M2" s="26">
        <f>ABS(Forecast_Model!J2-Forecast_Model!O2)</f>
        <v>18.48913043</v>
      </c>
      <c r="N2" s="26">
        <v>123.0</v>
      </c>
      <c r="O2" s="26"/>
      <c r="P2" s="26"/>
      <c r="Q2" s="26"/>
      <c r="R2" s="26">
        <f>ABS(Forecast_Model!Q2-Forecast_Model!U2)</f>
        <v>0</v>
      </c>
      <c r="S2" s="26">
        <f>ABS(Forecast_Model!Q2-Forecast_Model!V2)</f>
        <v>16</v>
      </c>
      <c r="T2" s="2"/>
      <c r="U2" s="2"/>
      <c r="V2" s="2"/>
      <c r="W2" s="2"/>
      <c r="X2" s="2"/>
      <c r="Y2" s="2"/>
      <c r="Z2" s="2"/>
    </row>
    <row r="3" ht="15.75" customHeight="1">
      <c r="A3" s="25">
        <v>2.0</v>
      </c>
      <c r="B3" s="26">
        <v>268.0</v>
      </c>
      <c r="C3" s="26"/>
      <c r="D3" s="26"/>
      <c r="E3" s="26"/>
      <c r="F3" s="26">
        <f>ABS(Forecast_Model!J3-Forecast_Model!N3)</f>
        <v>11.2</v>
      </c>
      <c r="G3" s="26">
        <f>ABS(Forecast_Model!C3-Forecast_Model!H3)</f>
        <v>14.40513834</v>
      </c>
      <c r="H3" s="26">
        <v>548.0</v>
      </c>
      <c r="I3" s="26"/>
      <c r="J3" s="26"/>
      <c r="K3" s="26"/>
      <c r="L3" s="26">
        <f>ABS(Forecast_Model!J3-Forecast_Model!N3)</f>
        <v>11.2</v>
      </c>
      <c r="M3" s="26">
        <f>ABS(Forecast_Model!J3-Forecast_Model!O3)</f>
        <v>7.124505929</v>
      </c>
      <c r="N3" s="26">
        <v>134.0</v>
      </c>
      <c r="O3" s="26"/>
      <c r="P3" s="26"/>
      <c r="Q3" s="26"/>
      <c r="R3" s="26">
        <f>ABS(Forecast_Model!Q3-Forecast_Model!U3)</f>
        <v>7.7</v>
      </c>
      <c r="S3" s="26">
        <f>ABS(Forecast_Model!Q3-Forecast_Model!V3)</f>
        <v>7.063241107</v>
      </c>
      <c r="T3" s="2"/>
      <c r="U3" s="2"/>
      <c r="V3" s="2"/>
      <c r="W3" s="2"/>
      <c r="X3" s="2"/>
      <c r="Y3" s="2"/>
      <c r="Z3" s="2"/>
    </row>
    <row r="4" ht="15.75" customHeight="1">
      <c r="A4" s="25">
        <v>3.0</v>
      </c>
      <c r="B4" s="26">
        <v>312.0</v>
      </c>
      <c r="C4" s="26"/>
      <c r="D4" s="26"/>
      <c r="E4" s="26"/>
      <c r="F4" s="26">
        <f>ABS(Forecast_Model!J4-Forecast_Model!N4)</f>
        <v>36.54</v>
      </c>
      <c r="G4" s="26">
        <f>ABS(Forecast_Model!C4-Forecast_Model!H4)</f>
        <v>25.54841897</v>
      </c>
      <c r="H4" s="26">
        <v>589.0</v>
      </c>
      <c r="I4" s="26"/>
      <c r="J4" s="26"/>
      <c r="K4" s="26"/>
      <c r="L4" s="26">
        <f>ABS(Forecast_Model!J4-Forecast_Model!N4)</f>
        <v>36.54</v>
      </c>
      <c r="M4" s="26">
        <f>ABS(Forecast_Model!J4-Forecast_Model!O4)</f>
        <v>29.24011858</v>
      </c>
      <c r="N4" s="26">
        <v>156.0</v>
      </c>
      <c r="O4" s="26"/>
      <c r="P4" s="26"/>
      <c r="Q4" s="26"/>
      <c r="R4" s="26">
        <f>ABS(Forecast_Model!Q4-Forecast_Model!U4)</f>
        <v>20.79</v>
      </c>
      <c r="S4" s="26">
        <f>ABS(Forecast_Model!Q4-Forecast_Model!V4)</f>
        <v>12.87351779</v>
      </c>
      <c r="T4" s="2"/>
      <c r="U4" s="2"/>
      <c r="V4" s="2"/>
      <c r="W4" s="2"/>
      <c r="X4" s="2"/>
      <c r="Y4" s="2"/>
      <c r="Z4" s="2"/>
    </row>
    <row r="5" ht="15.75" customHeight="1">
      <c r="A5" s="25">
        <v>4.0</v>
      </c>
      <c r="B5" s="26">
        <v>287.0</v>
      </c>
      <c r="C5" s="26">
        <f>ABS(Forecast_Model!C5-Forecast_Model!D5)</f>
        <v>12</v>
      </c>
      <c r="D5" s="26"/>
      <c r="E5" s="26">
        <f>ABS(Forecast_Model!C5-Forecast_Model!F5)</f>
        <v>1.6</v>
      </c>
      <c r="F5" s="26">
        <f>ABS(Forecast_Model!J5-Forecast_Model!N5)</f>
        <v>5.222</v>
      </c>
      <c r="G5" s="26">
        <f>ABS(Forecast_Model!C5-Forecast_Model!H5)</f>
        <v>3.498023715</v>
      </c>
      <c r="H5" s="26">
        <v>545.0</v>
      </c>
      <c r="I5" s="26">
        <f>ABS(Forecast_Model!J5-Forecast_Model!K5)</f>
        <v>11.33333333</v>
      </c>
      <c r="J5" s="26"/>
      <c r="K5" s="26">
        <f>ABS(Forecast_Model!J5-Forecast_Model!M5)</f>
        <v>20.3</v>
      </c>
      <c r="L5" s="26">
        <f>ABS(Forecast_Model!J5-Forecast_Model!N5)</f>
        <v>5.222</v>
      </c>
      <c r="M5" s="26">
        <f>ABS(Forecast_Model!J5-Forecast_Model!O5)</f>
        <v>19.39525692</v>
      </c>
      <c r="N5" s="26">
        <v>142.0</v>
      </c>
      <c r="O5" s="26">
        <f>ABS(Forecast_Model!Q5-Forecast_Model!R5)</f>
        <v>4.333333333</v>
      </c>
      <c r="P5" s="26"/>
      <c r="Q5" s="26">
        <f>ABS(Forecast_Model!Q5-Forecast_Model!T5)</f>
        <v>0.8</v>
      </c>
      <c r="R5" s="26">
        <f>ABS(Forecast_Model!Q5-Forecast_Model!U5)</f>
        <v>4.753</v>
      </c>
      <c r="S5" s="26">
        <f>ABS(Forecast_Model!Q5-Forecast_Model!V5)</f>
        <v>3.18972332</v>
      </c>
      <c r="T5" s="2"/>
      <c r="U5" s="2"/>
      <c r="V5" s="2"/>
      <c r="W5" s="2"/>
      <c r="X5" s="2"/>
      <c r="Y5" s="2"/>
      <c r="Z5" s="2"/>
    </row>
    <row r="6" ht="15.75" customHeight="1">
      <c r="A6" s="25">
        <v>5.0</v>
      </c>
      <c r="B6" s="26">
        <v>295.0</v>
      </c>
      <c r="C6" s="26">
        <f>ABS(Forecast_Model!C6-Forecast_Model!D6)</f>
        <v>6</v>
      </c>
      <c r="D6" s="26"/>
      <c r="E6" s="26">
        <f>ABS(Forecast_Model!C6-Forecast_Model!F6)</f>
        <v>4.3</v>
      </c>
      <c r="F6" s="26">
        <f>ABS(Forecast_Model!J6-Forecast_Model!N6)</f>
        <v>11.7446</v>
      </c>
      <c r="G6" s="26">
        <f>ABS(Forecast_Model!C6-Forecast_Model!H6)</f>
        <v>0.4555335968</v>
      </c>
      <c r="H6" s="26">
        <v>567.0</v>
      </c>
      <c r="I6" s="26">
        <f>ABS(Forecast_Model!J6-Forecast_Model!K6)</f>
        <v>6.333333333</v>
      </c>
      <c r="J6" s="26"/>
      <c r="K6" s="26">
        <f>ABS(Forecast_Model!J6-Forecast_Model!M6)</f>
        <v>8.2</v>
      </c>
      <c r="L6" s="26">
        <f>ABS(Forecast_Model!J6-Forecast_Model!N6)</f>
        <v>11.7446</v>
      </c>
      <c r="M6" s="26">
        <f>ABS(Forecast_Model!J6-Forecast_Model!O6)</f>
        <v>2.030632411</v>
      </c>
      <c r="N6" s="26">
        <v>148.0</v>
      </c>
      <c r="O6" s="26">
        <f>ABS(Forecast_Model!Q6-Forecast_Model!R6)</f>
        <v>4</v>
      </c>
      <c r="P6" s="26"/>
      <c r="Q6" s="26">
        <f>ABS(Forecast_Model!Q6-Forecast_Model!T6)</f>
        <v>3.4</v>
      </c>
      <c r="R6" s="26">
        <f>ABS(Forecast_Model!Q6-Forecast_Model!U6)</f>
        <v>7.5271</v>
      </c>
      <c r="S6" s="26">
        <f>ABS(Forecast_Model!Q6-Forecast_Model!V6)</f>
        <v>0.7470355731</v>
      </c>
      <c r="T6" s="2"/>
      <c r="U6" s="2"/>
      <c r="V6" s="2"/>
      <c r="W6" s="2"/>
      <c r="X6" s="2"/>
      <c r="Y6" s="2"/>
      <c r="Z6" s="2"/>
    </row>
    <row r="7" ht="15.75" customHeight="1">
      <c r="A7" s="25">
        <v>6.0</v>
      </c>
      <c r="B7" s="26">
        <v>278.0</v>
      </c>
      <c r="C7" s="26">
        <f>ABS(Forecast_Model!C7-Forecast_Model!D7)</f>
        <v>20</v>
      </c>
      <c r="D7" s="26"/>
      <c r="E7" s="26">
        <f>ABS(Forecast_Model!C7-Forecast_Model!F7)</f>
        <v>18</v>
      </c>
      <c r="F7" s="26">
        <f>ABS(Forecast_Model!J7-Forecast_Model!N7)</f>
        <v>14.87878</v>
      </c>
      <c r="G7" s="26">
        <f>ABS(Forecast_Model!C7-Forecast_Model!H7)</f>
        <v>20.59090909</v>
      </c>
      <c r="H7" s="26">
        <v>534.0</v>
      </c>
      <c r="I7" s="26">
        <f>ABS(Forecast_Model!J7-Forecast_Model!K7)</f>
        <v>33</v>
      </c>
      <c r="J7" s="26"/>
      <c r="K7" s="26">
        <f>ABS(Forecast_Model!J7-Forecast_Model!M7)</f>
        <v>30.8</v>
      </c>
      <c r="L7" s="26">
        <f>ABS(Forecast_Model!J7-Forecast_Model!N7)</f>
        <v>14.87878</v>
      </c>
      <c r="M7" s="26">
        <f>ABS(Forecast_Model!J7-Forecast_Model!O7)</f>
        <v>39.66600791</v>
      </c>
      <c r="N7" s="26">
        <v>138.0</v>
      </c>
      <c r="O7" s="26">
        <f>ABS(Forecast_Model!Q7-Forecast_Model!R7)</f>
        <v>10.66666667</v>
      </c>
      <c r="P7" s="26"/>
      <c r="Q7" s="26">
        <f>ABS(Forecast_Model!Q7-Forecast_Model!T7)</f>
        <v>9.8</v>
      </c>
      <c r="R7" s="26">
        <f>ABS(Forecast_Model!Q7-Forecast_Model!U7)</f>
        <v>1.73103</v>
      </c>
      <c r="S7" s="26">
        <f>ABS(Forecast_Model!Q7-Forecast_Model!V7)</f>
        <v>11.31620553</v>
      </c>
      <c r="T7" s="2"/>
      <c r="U7" s="2"/>
      <c r="V7" s="2"/>
      <c r="W7" s="2"/>
      <c r="X7" s="2"/>
      <c r="Y7" s="2"/>
      <c r="Z7" s="2"/>
    </row>
    <row r="8" ht="15.75" customHeight="1">
      <c r="A8" s="25">
        <v>7.0</v>
      </c>
      <c r="B8" s="26">
        <v>265.0</v>
      </c>
      <c r="C8" s="26">
        <f>ABS(Forecast_Model!C8-Forecast_Model!D8)</f>
        <v>21.66666667</v>
      </c>
      <c r="D8" s="26">
        <f>ABS(Forecast_Model!C8-Forecast_Model!E8)</f>
        <v>15.83333333</v>
      </c>
      <c r="E8" s="26">
        <f>ABS(Forecast_Model!C8-Forecast_Model!F8)</f>
        <v>19.9</v>
      </c>
      <c r="F8" s="26">
        <f>ABS(Forecast_Model!J8-Forecast_Model!N8)</f>
        <v>19.515146</v>
      </c>
      <c r="G8" s="26">
        <f>ABS(Forecast_Model!C8-Forecast_Model!H8)</f>
        <v>37.63735178</v>
      </c>
      <c r="H8" s="26">
        <v>521.0</v>
      </c>
      <c r="I8" s="26">
        <f>ABS(Forecast_Model!J8-Forecast_Model!K8)</f>
        <v>27.66666667</v>
      </c>
      <c r="J8" s="26">
        <f>ABS(Forecast_Model!J8-Forecast_Model!L8)</f>
        <v>31.5</v>
      </c>
      <c r="K8" s="26">
        <f>ABS(Forecast_Model!J8-Forecast_Model!M8)</f>
        <v>25.1</v>
      </c>
      <c r="L8" s="26">
        <f>ABS(Forecast_Model!J8-Forecast_Model!N8)</f>
        <v>19.515146</v>
      </c>
      <c r="M8" s="26">
        <f>ABS(Forecast_Model!J8-Forecast_Model!O8)</f>
        <v>57.3013834</v>
      </c>
      <c r="N8" s="26">
        <v>131.0</v>
      </c>
      <c r="O8" s="26">
        <f>ABS(Forecast_Model!Q8-Forecast_Model!R8)</f>
        <v>11.66666667</v>
      </c>
      <c r="P8" s="26">
        <f>ABS(Forecast_Model!Q8-Forecast_Model!S8)</f>
        <v>9.166666667</v>
      </c>
      <c r="Q8" s="26">
        <f>ABS(Forecast_Model!Q8-Forecast_Model!T8)</f>
        <v>10.8</v>
      </c>
      <c r="R8" s="26">
        <f>ABS(Forecast_Model!Q8-Forecast_Model!U8)</f>
        <v>6.111721</v>
      </c>
      <c r="S8" s="26">
        <f>ABS(Forecast_Model!Q8-Forecast_Model!V8)</f>
        <v>20.37944664</v>
      </c>
      <c r="T8" s="2"/>
      <c r="U8" s="2"/>
      <c r="V8" s="2"/>
      <c r="W8" s="2"/>
      <c r="X8" s="2"/>
      <c r="Y8" s="2"/>
      <c r="Z8" s="2"/>
    </row>
    <row r="9" ht="15.75" customHeight="1">
      <c r="A9" s="25">
        <v>8.0</v>
      </c>
      <c r="B9" s="26">
        <v>289.0</v>
      </c>
      <c r="C9" s="26">
        <f>ABS(Forecast_Model!C9-Forecast_Model!D9)</f>
        <v>9.666666667</v>
      </c>
      <c r="D9" s="26">
        <f>ABS(Forecast_Model!C9-Forecast_Model!E9)</f>
        <v>4.833333333</v>
      </c>
      <c r="E9" s="26">
        <f>ABS(Forecast_Model!C9-Forecast_Model!F9)</f>
        <v>14.1</v>
      </c>
      <c r="F9" s="26">
        <f>ABS(Forecast_Model!J9-Forecast_Model!N9)</f>
        <v>10.8393978</v>
      </c>
      <c r="G9" s="26">
        <f>ABS(Forecast_Model!C9-Forecast_Model!H9)</f>
        <v>17.68379447</v>
      </c>
      <c r="H9" s="26">
        <v>556.0</v>
      </c>
      <c r="I9" s="26">
        <f>ABS(Forecast_Model!J9-Forecast_Model!K9)</f>
        <v>15.33333333</v>
      </c>
      <c r="J9" s="26">
        <f>ABS(Forecast_Model!J9-Forecast_Model!L9)</f>
        <v>5.333333333</v>
      </c>
      <c r="K9" s="26">
        <f>ABS(Forecast_Model!J9-Forecast_Model!M9)</f>
        <v>21.9</v>
      </c>
      <c r="L9" s="26">
        <f>ABS(Forecast_Model!J9-Forecast_Model!N9)</f>
        <v>10.8393978</v>
      </c>
      <c r="M9" s="26">
        <f>ABS(Forecast_Model!J9-Forecast_Model!O9)</f>
        <v>26.93675889</v>
      </c>
      <c r="N9" s="26">
        <v>145.0</v>
      </c>
      <c r="O9" s="26">
        <f>ABS(Forecast_Model!Q9-Forecast_Model!R9)</f>
        <v>6</v>
      </c>
      <c r="P9" s="26">
        <f>ABS(Forecast_Model!Q9-Forecast_Model!S9)</f>
        <v>3.5</v>
      </c>
      <c r="Q9" s="26">
        <f>ABS(Forecast_Model!Q9-Forecast_Model!T9)</f>
        <v>8.5</v>
      </c>
      <c r="R9" s="26">
        <f>ABS(Forecast_Model!Q9-Forecast_Model!U9)</f>
        <v>5.5217953</v>
      </c>
      <c r="S9" s="26">
        <f>ABS(Forecast_Model!Q9-Forecast_Model!V9)</f>
        <v>8.442687747</v>
      </c>
      <c r="T9" s="2"/>
      <c r="U9" s="2"/>
      <c r="V9" s="2"/>
      <c r="W9" s="2"/>
      <c r="X9" s="2"/>
      <c r="Y9" s="2"/>
      <c r="Z9" s="2"/>
    </row>
    <row r="10" ht="15.75" customHeight="1">
      <c r="A10" s="25">
        <v>9.0</v>
      </c>
      <c r="B10" s="26">
        <v>334.0</v>
      </c>
      <c r="C10" s="26">
        <f>ABS(Forecast_Model!C10-Forecast_Model!D10)</f>
        <v>56.66666667</v>
      </c>
      <c r="D10" s="26">
        <f>ABS(Forecast_Model!C10-Forecast_Model!E10)</f>
        <v>46.33333333</v>
      </c>
      <c r="E10" s="26">
        <f>ABS(Forecast_Model!C10-Forecast_Model!F10)</f>
        <v>54.4</v>
      </c>
      <c r="F10" s="26">
        <f>ABS(Forecast_Model!J10-Forecast_Model!N10)</f>
        <v>46.78757846</v>
      </c>
      <c r="G10" s="26">
        <f>ABS(Forecast_Model!C10-Forecast_Model!H10)</f>
        <v>23.26976285</v>
      </c>
      <c r="H10" s="26">
        <v>612.0</v>
      </c>
      <c r="I10" s="26">
        <f>ABS(Forecast_Model!J10-Forecast_Model!K10)</f>
        <v>75</v>
      </c>
      <c r="J10" s="26">
        <f>ABS(Forecast_Model!J10-Forecast_Model!L10)</f>
        <v>60</v>
      </c>
      <c r="K10" s="26">
        <f>ABS(Forecast_Model!J10-Forecast_Model!M10)</f>
        <v>70.9</v>
      </c>
      <c r="L10" s="26">
        <f>ABS(Forecast_Model!J10-Forecast_Model!N10)</f>
        <v>46.78757846</v>
      </c>
      <c r="M10" s="26">
        <f>ABS(Forecast_Model!J10-Forecast_Model!O10)</f>
        <v>24.42786561</v>
      </c>
      <c r="N10" s="26">
        <v>167.0</v>
      </c>
      <c r="O10" s="26">
        <f>ABS(Forecast_Model!Q10-Forecast_Model!R10)</f>
        <v>29</v>
      </c>
      <c r="P10" s="26">
        <f>ABS(Forecast_Model!Q10-Forecast_Model!S10)</f>
        <v>23.66666667</v>
      </c>
      <c r="Q10" s="26">
        <f>ABS(Forecast_Model!Q10-Forecast_Model!T10)</f>
        <v>27.6</v>
      </c>
      <c r="R10" s="26">
        <f>ABS(Forecast_Model!Q10-Forecast_Model!U10)</f>
        <v>19.26525671</v>
      </c>
      <c r="S10" s="26">
        <f>ABS(Forecast_Model!Q10-Forecast_Model!V10)</f>
        <v>11.49407115</v>
      </c>
      <c r="T10" s="2"/>
      <c r="U10" s="2"/>
      <c r="V10" s="2"/>
      <c r="W10" s="2"/>
      <c r="X10" s="2"/>
      <c r="Y10" s="2"/>
      <c r="Z10" s="2"/>
    </row>
    <row r="11" ht="15.75" customHeight="1">
      <c r="A11" s="25">
        <v>10.0</v>
      </c>
      <c r="B11" s="26">
        <v>356.0</v>
      </c>
      <c r="C11" s="26">
        <f>ABS(Forecast_Model!C11-Forecast_Model!D11)</f>
        <v>60</v>
      </c>
      <c r="D11" s="26">
        <f>ABS(Forecast_Model!C11-Forecast_Model!E11)</f>
        <v>64.66666667</v>
      </c>
      <c r="E11" s="26">
        <f>ABS(Forecast_Model!C11-Forecast_Model!F11)</f>
        <v>49.3</v>
      </c>
      <c r="F11" s="26">
        <f>ABS(Forecast_Model!J11-Forecast_Model!N11)</f>
        <v>48.15130492</v>
      </c>
      <c r="G11" s="26">
        <f>ABS(Forecast_Model!C11-Forecast_Model!H11)</f>
        <v>41.22332016</v>
      </c>
      <c r="H11" s="26">
        <v>634.0</v>
      </c>
      <c r="I11" s="26">
        <f>ABS(Forecast_Model!J11-Forecast_Model!K11)</f>
        <v>71</v>
      </c>
      <c r="J11" s="26">
        <f>ABS(Forecast_Model!J11-Forecast_Model!L11)</f>
        <v>78.16666667</v>
      </c>
      <c r="K11" s="26">
        <f>ABS(Forecast_Model!J11-Forecast_Model!M11)</f>
        <v>57</v>
      </c>
      <c r="L11" s="26">
        <f>ABS(Forecast_Model!J11-Forecast_Model!N11)</f>
        <v>48.15130492</v>
      </c>
      <c r="M11" s="26">
        <f>ABS(Forecast_Model!J11-Forecast_Model!O11)</f>
        <v>41.79249012</v>
      </c>
      <c r="N11" s="26">
        <v>178.0</v>
      </c>
      <c r="O11" s="26">
        <f>ABS(Forecast_Model!Q11-Forecast_Model!R11)</f>
        <v>30.33333333</v>
      </c>
      <c r="P11" s="26">
        <f>ABS(Forecast_Model!Q11-Forecast_Model!S11)</f>
        <v>32.83333333</v>
      </c>
      <c r="Q11" s="26">
        <f>ABS(Forecast_Model!Q11-Forecast_Model!T11)</f>
        <v>24.8</v>
      </c>
      <c r="R11" s="26">
        <f>ABS(Forecast_Model!Q11-Forecast_Model!U11)</f>
        <v>21.1856797</v>
      </c>
      <c r="S11" s="26">
        <f>ABS(Forecast_Model!Q11-Forecast_Model!V11)</f>
        <v>20.43083004</v>
      </c>
      <c r="T11" s="2"/>
      <c r="U11" s="2"/>
      <c r="V11" s="2"/>
      <c r="W11" s="2"/>
      <c r="X11" s="2"/>
      <c r="Y11" s="2"/>
      <c r="Z11" s="2"/>
    </row>
    <row r="12" ht="15.75" customHeight="1">
      <c r="A12" s="25">
        <v>11.0</v>
      </c>
      <c r="B12" s="26">
        <v>425.0</v>
      </c>
      <c r="C12" s="26">
        <f>ABS(Forecast_Model!C12-Forecast_Model!D12)</f>
        <v>98.66666667</v>
      </c>
      <c r="D12" s="26">
        <f>ABS(Forecast_Model!C12-Forecast_Model!E12)</f>
        <v>122.1666667</v>
      </c>
      <c r="E12" s="26">
        <f>ABS(Forecast_Model!C12-Forecast_Model!F12)</f>
        <v>89</v>
      </c>
      <c r="F12" s="26">
        <f>ABS(Forecast_Model!J12-Forecast_Model!N12)</f>
        <v>96.00591345</v>
      </c>
      <c r="G12" s="26">
        <f>ABS(Forecast_Model!C12-Forecast_Model!H12)</f>
        <v>106.1768775</v>
      </c>
      <c r="H12" s="26">
        <v>723.0</v>
      </c>
      <c r="I12" s="26">
        <f>ABS(Forecast_Model!J12-Forecast_Model!K12)</f>
        <v>122.3333333</v>
      </c>
      <c r="J12" s="26">
        <f>ABS(Forecast_Model!J12-Forecast_Model!L12)</f>
        <v>152.3333333</v>
      </c>
      <c r="K12" s="26">
        <f>ABS(Forecast_Model!J12-Forecast_Model!M12)</f>
        <v>111.2</v>
      </c>
      <c r="L12" s="26">
        <f>ABS(Forecast_Model!J12-Forecast_Model!N12)</f>
        <v>96.00591345</v>
      </c>
      <c r="M12" s="26">
        <f>ABS(Forecast_Model!J12-Forecast_Model!O12)</f>
        <v>126.1571146</v>
      </c>
      <c r="N12" s="26">
        <v>212.0</v>
      </c>
      <c r="O12" s="26">
        <f>ABS(Forecast_Model!Q12-Forecast_Model!R12)</f>
        <v>48.66666667</v>
      </c>
      <c r="P12" s="26">
        <f>ABS(Forecast_Model!Q12-Forecast_Model!S12)</f>
        <v>60.83333333</v>
      </c>
      <c r="Q12" s="26">
        <f>ABS(Forecast_Model!Q12-Forecast_Model!T12)</f>
        <v>43.9</v>
      </c>
      <c r="R12" s="26">
        <f>ABS(Forecast_Model!Q12-Forecast_Model!U12)</f>
        <v>38.62997579</v>
      </c>
      <c r="S12" s="26">
        <f>ABS(Forecast_Model!Q12-Forecast_Model!V12)</f>
        <v>52.36758893</v>
      </c>
      <c r="T12" s="2"/>
      <c r="U12" s="2"/>
      <c r="V12" s="2"/>
      <c r="W12" s="2"/>
      <c r="X12" s="2"/>
      <c r="Y12" s="2"/>
      <c r="Z12" s="2"/>
    </row>
    <row r="13" ht="15.75" customHeight="1">
      <c r="A13" s="25">
        <v>12.0</v>
      </c>
      <c r="B13" s="26">
        <v>478.0</v>
      </c>
      <c r="C13" s="26">
        <f>ABS(Forecast_Model!C13-Forecast_Model!D13)</f>
        <v>106.3333333</v>
      </c>
      <c r="D13" s="26">
        <f>ABS(Forecast_Model!C13-Forecast_Model!E13)</f>
        <v>153.5</v>
      </c>
      <c r="E13" s="26">
        <f>ABS(Forecast_Model!C13-Forecast_Model!F13)</f>
        <v>91.9</v>
      </c>
      <c r="F13" s="26">
        <f>ABS(Forecast_Model!J13-Forecast_Model!N13)</f>
        <v>119.7041394</v>
      </c>
      <c r="G13" s="26">
        <f>ABS(Forecast_Model!C13-Forecast_Model!H13)</f>
        <v>155.1304348</v>
      </c>
      <c r="H13" s="26">
        <v>798.0</v>
      </c>
      <c r="I13" s="26">
        <f>ABS(Forecast_Model!J13-Forecast_Model!K13)</f>
        <v>141.6666667</v>
      </c>
      <c r="J13" s="26">
        <f>ABS(Forecast_Model!J13-Forecast_Model!L13)</f>
        <v>201.3333333</v>
      </c>
      <c r="K13" s="26">
        <f>ABS(Forecast_Model!J13-Forecast_Model!M13)</f>
        <v>123.9</v>
      </c>
      <c r="L13" s="26">
        <f>ABS(Forecast_Model!J13-Forecast_Model!N13)</f>
        <v>119.7041394</v>
      </c>
      <c r="M13" s="26">
        <f>ABS(Forecast_Model!J13-Forecast_Model!O13)</f>
        <v>196.5217391</v>
      </c>
      <c r="N13" s="26">
        <v>245.0</v>
      </c>
      <c r="O13" s="26">
        <f>ABS(Forecast_Model!Q13-Forecast_Model!R13)</f>
        <v>59.33333333</v>
      </c>
      <c r="P13" s="26">
        <f>ABS(Forecast_Model!Q13-Forecast_Model!S13)</f>
        <v>83.16666667</v>
      </c>
      <c r="Q13" s="26">
        <f>ABS(Forecast_Model!Q13-Forecast_Model!T13)</f>
        <v>52.2</v>
      </c>
      <c r="R13" s="26">
        <f>ABS(Forecast_Model!Q13-Forecast_Model!U13)</f>
        <v>50.14098305</v>
      </c>
      <c r="S13" s="26">
        <f>ABS(Forecast_Model!Q13-Forecast_Model!V13)</f>
        <v>83.30434783</v>
      </c>
      <c r="T13" s="2"/>
      <c r="U13" s="2"/>
      <c r="V13" s="2"/>
      <c r="W13" s="2"/>
      <c r="X13" s="2"/>
      <c r="Y13" s="2"/>
      <c r="Z13" s="2"/>
    </row>
    <row r="14" ht="15.75" customHeight="1">
      <c r="A14" s="25">
        <v>13.0</v>
      </c>
      <c r="B14" s="26">
        <v>267.0</v>
      </c>
      <c r="C14" s="26">
        <f>ABS(Forecast_Model!C14-Forecast_Model!D14)</f>
        <v>152.6666667</v>
      </c>
      <c r="D14" s="26">
        <f>ABS(Forecast_Model!C14-Forecast_Model!E14)</f>
        <v>90.83333333</v>
      </c>
      <c r="E14" s="26">
        <f>ABS(Forecast_Model!C14-Forecast_Model!F14)</f>
        <v>170.7</v>
      </c>
      <c r="F14" s="26">
        <f>ABS(Forecast_Model!J14-Forecast_Model!N14)</f>
        <v>84.20710241</v>
      </c>
      <c r="G14" s="26">
        <f>ABS(Forecast_Model!C14-Forecast_Model!H14)</f>
        <v>59.91600791</v>
      </c>
      <c r="H14" s="26">
        <v>558.0</v>
      </c>
      <c r="I14" s="26">
        <f>ABS(Forecast_Model!J14-Forecast_Model!K14)</f>
        <v>160.3333333</v>
      </c>
      <c r="J14" s="26">
        <f>ABS(Forecast_Model!J14-Forecast_Model!L14)</f>
        <v>82.66666667</v>
      </c>
      <c r="K14" s="26">
        <f>ABS(Forecast_Model!J14-Forecast_Model!M14)</f>
        <v>184.7</v>
      </c>
      <c r="L14" s="26">
        <f>ABS(Forecast_Model!J14-Forecast_Model!N14)</f>
        <v>84.20710241</v>
      </c>
      <c r="M14" s="26">
        <f>ABS(Forecast_Model!J14-Forecast_Model!O14)</f>
        <v>48.11363636</v>
      </c>
      <c r="N14" s="26">
        <v>132.0</v>
      </c>
      <c r="O14" s="26">
        <f>ABS(Forecast_Model!Q14-Forecast_Model!R14)</f>
        <v>79.66666667</v>
      </c>
      <c r="P14" s="26">
        <f>ABS(Forecast_Model!Q14-Forecast_Model!S14)</f>
        <v>47.66666667</v>
      </c>
      <c r="Q14" s="26">
        <f>ABS(Forecast_Model!Q14-Forecast_Model!T14)</f>
        <v>89.7</v>
      </c>
      <c r="R14" s="26">
        <f>ABS(Forecast_Model!Q14-Forecast_Model!U14)</f>
        <v>44.00131186</v>
      </c>
      <c r="S14" s="26">
        <f>ABS(Forecast_Model!Q14-Forecast_Model!V14)</f>
        <v>31.75889328</v>
      </c>
      <c r="T14" s="2"/>
      <c r="U14" s="2"/>
      <c r="V14" s="2"/>
      <c r="W14" s="2"/>
      <c r="X14" s="2"/>
      <c r="Y14" s="2"/>
      <c r="Z14" s="2"/>
    </row>
    <row r="15" ht="15.75" customHeight="1">
      <c r="A15" s="25">
        <v>14.0</v>
      </c>
      <c r="B15" s="26">
        <v>285.0</v>
      </c>
      <c r="C15" s="26">
        <f>ABS(Forecast_Model!C15-Forecast_Model!D15)</f>
        <v>105</v>
      </c>
      <c r="D15" s="26">
        <f>ABS(Forecast_Model!C15-Forecast_Model!E15)</f>
        <v>73.16666667</v>
      </c>
      <c r="E15" s="26">
        <f>ABS(Forecast_Model!C15-Forecast_Model!F15)</f>
        <v>76.9</v>
      </c>
      <c r="F15" s="26">
        <f>ABS(Forecast_Model!J15-Forecast_Model!N15)</f>
        <v>49.14497169</v>
      </c>
      <c r="G15" s="26">
        <f>ABS(Forecast_Model!C15-Forecast_Model!H15)</f>
        <v>45.96245059</v>
      </c>
      <c r="H15" s="26">
        <v>572.0</v>
      </c>
      <c r="I15" s="26">
        <f>ABS(Forecast_Model!J15-Forecast_Model!K15)</f>
        <v>121</v>
      </c>
      <c r="J15" s="26">
        <f>ABS(Forecast_Model!J15-Forecast_Model!L15)</f>
        <v>74.83333333</v>
      </c>
      <c r="K15" s="26">
        <f>ABS(Forecast_Model!J15-Forecast_Model!M15)</f>
        <v>91</v>
      </c>
      <c r="L15" s="26">
        <f>ABS(Forecast_Model!J15-Forecast_Model!N15)</f>
        <v>49.14497169</v>
      </c>
      <c r="M15" s="26">
        <f>ABS(Forecast_Model!J15-Forecast_Model!O15)</f>
        <v>38.74901186</v>
      </c>
      <c r="N15" s="26">
        <v>145.0</v>
      </c>
      <c r="O15" s="26">
        <f>ABS(Forecast_Model!Q15-Forecast_Model!R15)</f>
        <v>51.33333333</v>
      </c>
      <c r="P15" s="26">
        <f>ABS(Forecast_Model!Q15-Forecast_Model!S15)</f>
        <v>34.83333333</v>
      </c>
      <c r="Q15" s="26">
        <f>ABS(Forecast_Model!Q15-Forecast_Model!T15)</f>
        <v>36.9</v>
      </c>
      <c r="R15" s="26">
        <f>ABS(Forecast_Model!Q15-Forecast_Model!U15)</f>
        <v>21.7009183</v>
      </c>
      <c r="S15" s="26">
        <f>ABS(Forecast_Model!Q15-Forecast_Model!V15)</f>
        <v>20.82213439</v>
      </c>
      <c r="T15" s="2"/>
      <c r="U15" s="2"/>
      <c r="V15" s="2"/>
      <c r="W15" s="2"/>
      <c r="X15" s="2"/>
      <c r="Y15" s="2"/>
      <c r="Z15" s="2"/>
    </row>
    <row r="16" ht="15.75" customHeight="1">
      <c r="A16" s="25">
        <v>15.0</v>
      </c>
      <c r="B16" s="26">
        <v>338.0</v>
      </c>
      <c r="C16" s="26">
        <f>ABS(Forecast_Model!C16-Forecast_Model!D16)</f>
        <v>5.333333333</v>
      </c>
      <c r="D16" s="26">
        <f>ABS(Forecast_Model!C16-Forecast_Model!E16)</f>
        <v>19.5</v>
      </c>
      <c r="E16" s="26">
        <f>ABS(Forecast_Model!C16-Forecast_Model!F16)</f>
        <v>19.8</v>
      </c>
      <c r="F16" s="26">
        <f>ABS(Forecast_Model!J16-Forecast_Model!N16)</f>
        <v>2.201480182</v>
      </c>
      <c r="G16" s="26">
        <f>ABS(Forecast_Model!C16-Forecast_Model!H16)</f>
        <v>2.991106719</v>
      </c>
      <c r="H16" s="26">
        <v>618.0</v>
      </c>
      <c r="I16" s="26">
        <f>ABS(Forecast_Model!J16-Forecast_Model!K16)</f>
        <v>24.66666667</v>
      </c>
      <c r="J16" s="26">
        <f>ABS(Forecast_Model!J16-Forecast_Model!L16)</f>
        <v>31.5</v>
      </c>
      <c r="K16" s="26">
        <f>ABS(Forecast_Model!J16-Forecast_Model!M16)</f>
        <v>5</v>
      </c>
      <c r="L16" s="26">
        <f>ABS(Forecast_Model!J16-Forecast_Model!N16)</f>
        <v>2.201480182</v>
      </c>
      <c r="M16" s="26">
        <f>ABS(Forecast_Model!J16-Forecast_Model!O16)</f>
        <v>2.615612648</v>
      </c>
      <c r="N16" s="26">
        <v>168.0</v>
      </c>
      <c r="O16" s="26">
        <f>ABS(Forecast_Model!Q16-Forecast_Model!R16)</f>
        <v>6</v>
      </c>
      <c r="P16" s="26">
        <f>ABS(Forecast_Model!Q16-Forecast_Model!S16)</f>
        <v>11.83333333</v>
      </c>
      <c r="Q16" s="26">
        <f>ABS(Forecast_Model!Q16-Forecast_Model!T16)</f>
        <v>6.9</v>
      </c>
      <c r="R16" s="26">
        <f>ABS(Forecast_Model!Q16-Forecast_Model!U16)</f>
        <v>0.9093571867</v>
      </c>
      <c r="S16" s="26">
        <f>ABS(Forecast_Model!Q16-Forecast_Model!V16)</f>
        <v>0.1146245059</v>
      </c>
      <c r="T16" s="2"/>
      <c r="U16" s="2"/>
      <c r="V16" s="2"/>
      <c r="W16" s="2"/>
      <c r="X16" s="2"/>
      <c r="Y16" s="2"/>
      <c r="Z16" s="2"/>
    </row>
    <row r="17" ht="15.75" customHeight="1">
      <c r="A17" s="25">
        <v>16.0</v>
      </c>
      <c r="B17" s="26">
        <v>305.0</v>
      </c>
      <c r="C17" s="26">
        <f>ABS(Forecast_Model!C17-Forecast_Model!D17)</f>
        <v>8.333333333</v>
      </c>
      <c r="D17" s="26">
        <f>ABS(Forecast_Model!C17-Forecast_Model!E17)</f>
        <v>53.16666667</v>
      </c>
      <c r="E17" s="26">
        <f>ABS(Forecast_Model!C17-Forecast_Model!F17)</f>
        <v>2.9</v>
      </c>
      <c r="F17" s="26">
        <f>ABS(Forecast_Model!J17-Forecast_Model!N17)</f>
        <v>33.04103613</v>
      </c>
      <c r="G17" s="26">
        <f>ABS(Forecast_Model!C17-Forecast_Model!H17)</f>
        <v>34.05533597</v>
      </c>
      <c r="H17" s="26">
        <v>573.0</v>
      </c>
      <c r="I17" s="26">
        <f>ABS(Forecast_Model!J17-Forecast_Model!K17)</f>
        <v>9.666666667</v>
      </c>
      <c r="J17" s="26">
        <f>ABS(Forecast_Model!J17-Forecast_Model!L17)</f>
        <v>77.5</v>
      </c>
      <c r="K17" s="26">
        <f>ABS(Forecast_Model!J17-Forecast_Model!M17)</f>
        <v>19.2</v>
      </c>
      <c r="L17" s="26">
        <f>ABS(Forecast_Model!J17-Forecast_Model!N17)</f>
        <v>33.04103613</v>
      </c>
      <c r="M17" s="26">
        <f>ABS(Forecast_Model!J17-Forecast_Model!O17)</f>
        <v>47.01976285</v>
      </c>
      <c r="N17" s="26">
        <v>153.0</v>
      </c>
      <c r="O17" s="26">
        <f>ABS(Forecast_Model!Q17-Forecast_Model!R17)</f>
        <v>4.666666667</v>
      </c>
      <c r="P17" s="26">
        <f>ABS(Forecast_Model!Q17-Forecast_Model!S17)</f>
        <v>27</v>
      </c>
      <c r="Q17" s="26">
        <f>ABS(Forecast_Model!Q17-Forecast_Model!T17)</f>
        <v>0.9</v>
      </c>
      <c r="R17" s="26">
        <f>ABS(Forecast_Model!Q17-Forecast_Model!U17)</f>
        <v>9.863449969</v>
      </c>
      <c r="S17" s="26">
        <f>ABS(Forecast_Model!Q17-Forecast_Model!V17)</f>
        <v>16.9486166</v>
      </c>
      <c r="T17" s="2"/>
      <c r="U17" s="2"/>
      <c r="V17" s="2"/>
      <c r="W17" s="2"/>
      <c r="X17" s="2"/>
      <c r="Y17" s="2"/>
      <c r="Z17" s="2"/>
    </row>
    <row r="18" ht="15.75" customHeight="1">
      <c r="A18" s="25">
        <v>17.0</v>
      </c>
      <c r="B18" s="26">
        <v>318.0</v>
      </c>
      <c r="C18" s="26">
        <f>ABS(Forecast_Model!C18-Forecast_Model!D18)</f>
        <v>8.666666667</v>
      </c>
      <c r="D18" s="26">
        <f>ABS(Forecast_Model!C18-Forecast_Model!E18)</f>
        <v>31.66666667</v>
      </c>
      <c r="E18" s="26">
        <f>ABS(Forecast_Model!C18-Forecast_Model!F18)</f>
        <v>7.1</v>
      </c>
      <c r="F18" s="26">
        <f>ABS(Forecast_Model!J18-Forecast_Model!N18)</f>
        <v>11.92872529</v>
      </c>
      <c r="G18" s="26">
        <f>ABS(Forecast_Model!C18-Forecast_Model!H18)</f>
        <v>25.10177866</v>
      </c>
      <c r="H18" s="26">
        <v>589.0</v>
      </c>
      <c r="I18" s="26">
        <f>ABS(Forecast_Model!J18-Forecast_Model!K18)</f>
        <v>1.333333333</v>
      </c>
      <c r="J18" s="26">
        <f>ABS(Forecast_Model!J18-Forecast_Model!L18)</f>
        <v>51.33333333</v>
      </c>
      <c r="K18" s="26">
        <f>ABS(Forecast_Model!J18-Forecast_Model!M18)</f>
        <v>2.7</v>
      </c>
      <c r="L18" s="26">
        <f>ABS(Forecast_Model!J18-Forecast_Model!N18)</f>
        <v>11.92872529</v>
      </c>
      <c r="M18" s="26">
        <f>ABS(Forecast_Model!J18-Forecast_Model!O18)</f>
        <v>35.65513834</v>
      </c>
      <c r="N18" s="26">
        <v>159.0</v>
      </c>
      <c r="O18" s="26">
        <f>ABS(Forecast_Model!Q18-Forecast_Model!R18)</f>
        <v>3.666666667</v>
      </c>
      <c r="P18" s="26">
        <f>ABS(Forecast_Model!Q18-Forecast_Model!S18)</f>
        <v>16.83333333</v>
      </c>
      <c r="Q18" s="26">
        <f>ABS(Forecast_Model!Q18-Forecast_Model!T18)</f>
        <v>3.1</v>
      </c>
      <c r="R18" s="26">
        <f>ABS(Forecast_Model!Q18-Forecast_Model!U18)</f>
        <v>2.704414979</v>
      </c>
      <c r="S18" s="26">
        <f>ABS(Forecast_Model!Q18-Forecast_Model!V18)</f>
        <v>13.01185771</v>
      </c>
      <c r="T18" s="2"/>
      <c r="U18" s="2"/>
      <c r="V18" s="2"/>
      <c r="W18" s="2"/>
      <c r="X18" s="2"/>
      <c r="Y18" s="2"/>
      <c r="Z18" s="2"/>
    </row>
    <row r="19" ht="15.75" customHeight="1">
      <c r="A19" s="25">
        <v>18.0</v>
      </c>
      <c r="B19" s="26">
        <v>295.0</v>
      </c>
      <c r="C19" s="26">
        <f>ABS(Forecast_Model!C19-Forecast_Model!D19)</f>
        <v>25.33333333</v>
      </c>
      <c r="D19" s="26">
        <f>ABS(Forecast_Model!C19-Forecast_Model!E19)</f>
        <v>36.83333333</v>
      </c>
      <c r="E19" s="26">
        <f>ABS(Forecast_Model!C19-Forecast_Model!F19)</f>
        <v>23.1</v>
      </c>
      <c r="F19" s="26">
        <f>ABS(Forecast_Model!J19-Forecast_Model!N19)</f>
        <v>27.9501077</v>
      </c>
      <c r="G19" s="26">
        <f>ABS(Forecast_Model!C19-Forecast_Model!H19)</f>
        <v>52.14822134</v>
      </c>
      <c r="H19" s="26">
        <v>561.0</v>
      </c>
      <c r="I19" s="26">
        <f>ABS(Forecast_Model!J19-Forecast_Model!K19)</f>
        <v>32.33333333</v>
      </c>
      <c r="J19" s="26">
        <f>ABS(Forecast_Model!J19-Forecast_Model!L19)</f>
        <v>57</v>
      </c>
      <c r="K19" s="26">
        <f>ABS(Forecast_Model!J19-Forecast_Model!M19)</f>
        <v>29</v>
      </c>
      <c r="L19" s="26">
        <f>ABS(Forecast_Model!J19-Forecast_Model!N19)</f>
        <v>27.9501077</v>
      </c>
      <c r="M19" s="26">
        <f>ABS(Forecast_Model!J19-Forecast_Model!O19)</f>
        <v>68.29051383</v>
      </c>
      <c r="N19" s="26">
        <v>147.0</v>
      </c>
      <c r="O19" s="26">
        <f>ABS(Forecast_Model!Q19-Forecast_Model!R19)</f>
        <v>13</v>
      </c>
      <c r="P19" s="26">
        <f>ABS(Forecast_Model!Q19-Forecast_Model!S19)</f>
        <v>20</v>
      </c>
      <c r="Q19" s="26">
        <f>ABS(Forecast_Model!Q19-Forecast_Model!T19)</f>
        <v>12</v>
      </c>
      <c r="R19" s="26">
        <f>ABS(Forecast_Model!Q19-Forecast_Model!U19)</f>
        <v>10.29309048</v>
      </c>
      <c r="S19" s="26">
        <f>ABS(Forecast_Model!Q19-Forecast_Model!V19)</f>
        <v>27.07509881</v>
      </c>
      <c r="T19" s="2"/>
      <c r="U19" s="2"/>
      <c r="V19" s="2"/>
      <c r="W19" s="2"/>
      <c r="X19" s="2"/>
      <c r="Y19" s="2"/>
      <c r="Z19" s="2"/>
    </row>
    <row r="20" ht="15.75" customHeight="1">
      <c r="A20" s="25">
        <v>19.0</v>
      </c>
      <c r="B20" s="26">
        <v>282.0</v>
      </c>
      <c r="C20" s="26">
        <f>ABS(Forecast_Model!C20-Forecast_Model!D20)</f>
        <v>24</v>
      </c>
      <c r="D20" s="26">
        <f>ABS(Forecast_Model!C20-Forecast_Model!E20)</f>
        <v>19.33333333</v>
      </c>
      <c r="E20" s="26">
        <f>ABS(Forecast_Model!C20-Forecast_Model!F20)</f>
        <v>21.9</v>
      </c>
      <c r="F20" s="26">
        <f>ABS(Forecast_Model!J20-Forecast_Model!N20)</f>
        <v>30.76507539</v>
      </c>
      <c r="G20" s="26">
        <f>ABS(Forecast_Model!C20-Forecast_Model!H20)</f>
        <v>69.19466403</v>
      </c>
      <c r="H20" s="26">
        <v>545.0</v>
      </c>
      <c r="I20" s="26">
        <f>ABS(Forecast_Model!J20-Forecast_Model!K20)</f>
        <v>29.33333333</v>
      </c>
      <c r="J20" s="26">
        <f>ABS(Forecast_Model!J20-Forecast_Model!L20)</f>
        <v>33.5</v>
      </c>
      <c r="K20" s="26">
        <f>ABS(Forecast_Model!J20-Forecast_Model!M20)</f>
        <v>26.8</v>
      </c>
      <c r="L20" s="26">
        <f>ABS(Forecast_Model!J20-Forecast_Model!N20)</f>
        <v>30.76507539</v>
      </c>
      <c r="M20" s="26">
        <f>ABS(Forecast_Model!J20-Forecast_Model!O20)</f>
        <v>88.92588933</v>
      </c>
      <c r="N20" s="26">
        <v>141.0</v>
      </c>
      <c r="O20" s="26">
        <f>ABS(Forecast_Model!Q20-Forecast_Model!R20)</f>
        <v>12</v>
      </c>
      <c r="P20" s="26">
        <f>ABS(Forecast_Model!Q20-Forecast_Model!S20)</f>
        <v>9.666666667</v>
      </c>
      <c r="Q20" s="26">
        <f>ABS(Forecast_Model!Q20-Forecast_Model!T20)</f>
        <v>10.8</v>
      </c>
      <c r="R20" s="26">
        <f>ABS(Forecast_Model!Q20-Forecast_Model!U20)</f>
        <v>11.40516334</v>
      </c>
      <c r="S20" s="26">
        <f>ABS(Forecast_Model!Q20-Forecast_Model!V20)</f>
        <v>35.13833992</v>
      </c>
      <c r="T20" s="2"/>
      <c r="U20" s="2"/>
      <c r="V20" s="2"/>
      <c r="W20" s="2"/>
      <c r="X20" s="2"/>
      <c r="Y20" s="2"/>
      <c r="Z20" s="2"/>
    </row>
    <row r="21" ht="15.75" customHeight="1">
      <c r="A21" s="25">
        <v>20.0</v>
      </c>
      <c r="B21" s="26">
        <v>308.0</v>
      </c>
      <c r="C21" s="26">
        <f>ABS(Forecast_Model!C21-Forecast_Model!D21)</f>
        <v>9.666666667</v>
      </c>
      <c r="D21" s="26">
        <f>ABS(Forecast_Model!C21-Forecast_Model!E21)</f>
        <v>4.166666667</v>
      </c>
      <c r="E21" s="26">
        <f>ABS(Forecast_Model!C21-Forecast_Model!F21)</f>
        <v>14.9</v>
      </c>
      <c r="F21" s="26">
        <f>ABS(Forecast_Model!J21-Forecast_Model!N21)</f>
        <v>5.764447226</v>
      </c>
      <c r="G21" s="26">
        <f>ABS(Forecast_Model!C21-Forecast_Model!H21)</f>
        <v>47.24110672</v>
      </c>
      <c r="H21" s="26">
        <v>584.0</v>
      </c>
      <c r="I21" s="26">
        <f>ABS(Forecast_Model!J21-Forecast_Model!K21)</f>
        <v>19</v>
      </c>
      <c r="J21" s="26">
        <f>ABS(Forecast_Model!J21-Forecast_Model!L21)</f>
        <v>7.666666667</v>
      </c>
      <c r="K21" s="26">
        <f>ABS(Forecast_Model!J21-Forecast_Model!M21)</f>
        <v>25.4</v>
      </c>
      <c r="L21" s="26">
        <f>ABS(Forecast_Model!J21-Forecast_Model!N21)</f>
        <v>5.764447226</v>
      </c>
      <c r="M21" s="26">
        <f>ABS(Forecast_Model!J21-Forecast_Model!O21)</f>
        <v>54.56126482</v>
      </c>
      <c r="N21" s="26">
        <v>156.0</v>
      </c>
      <c r="O21" s="26">
        <f>ABS(Forecast_Model!Q21-Forecast_Model!R21)</f>
        <v>7</v>
      </c>
      <c r="P21" s="26">
        <f>ABS(Forecast_Model!Q21-Forecast_Model!S21)</f>
        <v>3.833333333</v>
      </c>
      <c r="Q21" s="26">
        <f>ABS(Forecast_Model!Q21-Forecast_Model!T21)</f>
        <v>9.6</v>
      </c>
      <c r="R21" s="26">
        <f>ABS(Forecast_Model!Q21-Forecast_Model!U21)</f>
        <v>2.516385662</v>
      </c>
      <c r="S21" s="26">
        <f>ABS(Forecast_Model!Q21-Forecast_Model!V21)</f>
        <v>22.20158103</v>
      </c>
      <c r="T21" s="2"/>
      <c r="U21" s="2"/>
      <c r="V21" s="2"/>
      <c r="W21" s="2"/>
      <c r="X21" s="2"/>
      <c r="Y21" s="2"/>
      <c r="Z21" s="2"/>
    </row>
    <row r="22" ht="15.75" customHeight="1">
      <c r="A22" s="25">
        <v>21.0</v>
      </c>
      <c r="B22" s="26">
        <v>358.0</v>
      </c>
      <c r="C22" s="26">
        <f>ABS(Forecast_Model!C22-Forecast_Model!D22)</f>
        <v>63</v>
      </c>
      <c r="D22" s="26">
        <f>ABS(Forecast_Model!C22-Forecast_Model!E22)</f>
        <v>50.33333333</v>
      </c>
      <c r="E22" s="26">
        <f>ABS(Forecast_Model!C22-Forecast_Model!F22)</f>
        <v>60.4</v>
      </c>
      <c r="F22" s="26">
        <f>ABS(Forecast_Model!J22-Forecast_Model!N22)</f>
        <v>46.73511306</v>
      </c>
      <c r="G22" s="26">
        <f>ABS(Forecast_Model!C22-Forecast_Model!H22)</f>
        <v>1.287549407</v>
      </c>
      <c r="H22" s="26">
        <v>645.0</v>
      </c>
      <c r="I22" s="26">
        <f>ABS(Forecast_Model!J22-Forecast_Model!K22)</f>
        <v>81.66666667</v>
      </c>
      <c r="J22" s="26">
        <f>ABS(Forecast_Model!J22-Forecast_Model!L22)</f>
        <v>66.66666667</v>
      </c>
      <c r="K22" s="26">
        <f>ABS(Forecast_Model!J22-Forecast_Model!M22)</f>
        <v>77.3</v>
      </c>
      <c r="L22" s="26">
        <f>ABS(Forecast_Model!J22-Forecast_Model!N22)</f>
        <v>46.73511306</v>
      </c>
      <c r="M22" s="26">
        <f>ABS(Forecast_Model!J22-Forecast_Model!O22)</f>
        <v>1.803359684</v>
      </c>
      <c r="N22" s="26">
        <v>179.0</v>
      </c>
      <c r="O22" s="26">
        <f>ABS(Forecast_Model!Q22-Forecast_Model!R22)</f>
        <v>31</v>
      </c>
      <c r="P22" s="26">
        <f>ABS(Forecast_Model!Q22-Forecast_Model!S22)</f>
        <v>25</v>
      </c>
      <c r="Q22" s="26">
        <f>ABS(Forecast_Model!Q22-Forecast_Model!T22)</f>
        <v>29.3</v>
      </c>
      <c r="R22" s="26">
        <f>ABS(Forecast_Model!Q22-Forecast_Model!U22)</f>
        <v>17.86146996</v>
      </c>
      <c r="S22" s="26">
        <f>ABS(Forecast_Model!Q22-Forecast_Model!V22)</f>
        <v>1.264822134</v>
      </c>
      <c r="T22" s="2"/>
      <c r="U22" s="2"/>
      <c r="V22" s="2"/>
      <c r="W22" s="2"/>
      <c r="X22" s="2"/>
      <c r="Y22" s="2"/>
      <c r="Z22" s="2"/>
    </row>
    <row r="23" ht="15.75" customHeight="1">
      <c r="A23" s="25">
        <v>22.0</v>
      </c>
      <c r="B23" s="26">
        <v>382.0</v>
      </c>
      <c r="C23" s="26">
        <f>ABS(Forecast_Model!C23-Forecast_Model!D23)</f>
        <v>66</v>
      </c>
      <c r="D23" s="26">
        <f>ABS(Forecast_Model!C23-Forecast_Model!E23)</f>
        <v>71</v>
      </c>
      <c r="E23" s="26">
        <f>ABS(Forecast_Model!C23-Forecast_Model!F23)</f>
        <v>54.2</v>
      </c>
      <c r="F23" s="26">
        <f>ABS(Forecast_Model!J23-Forecast_Model!N23)</f>
        <v>48.81457914</v>
      </c>
      <c r="G23" s="26">
        <f>ABS(Forecast_Model!C23-Forecast_Model!H23)</f>
        <v>18.66600791</v>
      </c>
      <c r="H23" s="26">
        <v>668.0</v>
      </c>
      <c r="I23" s="26">
        <f>ABS(Forecast_Model!J23-Forecast_Model!K23)</f>
        <v>76.66666667</v>
      </c>
      <c r="J23" s="26">
        <f>ABS(Forecast_Model!J23-Forecast_Model!L23)</f>
        <v>85.16666667</v>
      </c>
      <c r="K23" s="26">
        <f>ABS(Forecast_Model!J23-Forecast_Model!M23)</f>
        <v>61.3</v>
      </c>
      <c r="L23" s="26">
        <f>ABS(Forecast_Model!J23-Forecast_Model!N23)</f>
        <v>48.81457914</v>
      </c>
      <c r="M23" s="26">
        <f>ABS(Forecast_Model!J23-Forecast_Model!O23)</f>
        <v>20.16798419</v>
      </c>
      <c r="N23" s="26">
        <v>192.0</v>
      </c>
      <c r="O23" s="26">
        <f>ABS(Forecast_Model!Q23-Forecast_Model!R23)</f>
        <v>33.33333333</v>
      </c>
      <c r="P23" s="26">
        <f>ABS(Forecast_Model!Q23-Forecast_Model!S23)</f>
        <v>36.16666667</v>
      </c>
      <c r="Q23" s="26">
        <f>ABS(Forecast_Model!Q23-Forecast_Model!T23)</f>
        <v>27.5</v>
      </c>
      <c r="R23" s="26">
        <f>ABS(Forecast_Model!Q23-Forecast_Model!U23)</f>
        <v>21.60302897</v>
      </c>
      <c r="S23" s="26">
        <f>ABS(Forecast_Model!Q23-Forecast_Model!V23)</f>
        <v>9.671936759</v>
      </c>
      <c r="T23" s="2"/>
      <c r="U23" s="2"/>
      <c r="V23" s="2"/>
      <c r="W23" s="2"/>
      <c r="X23" s="2"/>
      <c r="Y23" s="2"/>
      <c r="Z23" s="2"/>
    </row>
    <row r="24" ht="15.75" customHeight="1">
      <c r="A24" s="25">
        <v>23.0</v>
      </c>
      <c r="B24" s="26">
        <v>456.0</v>
      </c>
      <c r="C24" s="26">
        <f>ABS(Forecast_Model!C24-Forecast_Model!D24)</f>
        <v>106.6666667</v>
      </c>
      <c r="D24" s="26">
        <f>ABS(Forecast_Model!C24-Forecast_Model!E24)</f>
        <v>132.1666667</v>
      </c>
      <c r="E24" s="26">
        <f>ABS(Forecast_Model!C24-Forecast_Model!F24)</f>
        <v>96</v>
      </c>
      <c r="F24" s="26">
        <f>ABS(Forecast_Model!J24-Forecast_Model!N24)</f>
        <v>99.9702054</v>
      </c>
      <c r="G24" s="26">
        <f>ABS(Forecast_Model!C24-Forecast_Model!H24)</f>
        <v>88.61956522</v>
      </c>
      <c r="H24" s="26">
        <v>762.0</v>
      </c>
      <c r="I24" s="26">
        <f>ABS(Forecast_Model!J24-Forecast_Model!K24)</f>
        <v>129.6666667</v>
      </c>
      <c r="J24" s="26">
        <f>ABS(Forecast_Model!J24-Forecast_Model!L24)</f>
        <v>163.3333333</v>
      </c>
      <c r="K24" s="26">
        <f>ABS(Forecast_Model!J24-Forecast_Model!M24)</f>
        <v>117.7</v>
      </c>
      <c r="L24" s="26">
        <f>ABS(Forecast_Model!J24-Forecast_Model!N24)</f>
        <v>99.9702054</v>
      </c>
      <c r="M24" s="26">
        <f>ABS(Forecast_Model!J24-Forecast_Model!O24)</f>
        <v>109.5326087</v>
      </c>
      <c r="N24" s="26">
        <v>228.0</v>
      </c>
      <c r="O24" s="26">
        <f>ABS(Forecast_Model!Q24-Forecast_Model!R24)</f>
        <v>52.33333333</v>
      </c>
      <c r="P24" s="26">
        <f>ABS(Forecast_Model!Q24-Forecast_Model!S24)</f>
        <v>65.66666667</v>
      </c>
      <c r="Q24" s="26">
        <f>ABS(Forecast_Model!Q24-Forecast_Model!T24)</f>
        <v>47.1</v>
      </c>
      <c r="R24" s="26">
        <f>ABS(Forecast_Model!Q24-Forecast_Model!U24)</f>
        <v>40.32212028</v>
      </c>
      <c r="S24" s="26">
        <f>ABS(Forecast_Model!Q24-Forecast_Model!V24)</f>
        <v>43.60869565</v>
      </c>
      <c r="T24" s="2"/>
      <c r="U24" s="2"/>
      <c r="V24" s="2"/>
      <c r="W24" s="2"/>
      <c r="X24" s="2"/>
      <c r="Y24" s="2"/>
      <c r="Z24" s="2"/>
    </row>
    <row r="25" ht="15.75" customHeight="1">
      <c r="A25" s="25">
        <v>24.0</v>
      </c>
      <c r="B25" s="26">
        <v>512.0</v>
      </c>
      <c r="C25" s="26">
        <f>ABS(Forecast_Model!C25-Forecast_Model!D25)</f>
        <v>113.3333333</v>
      </c>
      <c r="D25" s="26">
        <f>ABS(Forecast_Model!C25-Forecast_Model!E25)</f>
        <v>165.1666667</v>
      </c>
      <c r="E25" s="26">
        <f>ABS(Forecast_Model!C25-Forecast_Model!F25)</f>
        <v>97.8</v>
      </c>
      <c r="F25" s="26">
        <f>ABS(Forecast_Model!J25-Forecast_Model!N25)</f>
        <v>120.3791438</v>
      </c>
      <c r="G25" s="26">
        <f>ABS(Forecast_Model!C25-Forecast_Model!H25)</f>
        <v>140.5731225</v>
      </c>
      <c r="H25" s="26">
        <v>834.0</v>
      </c>
      <c r="I25" s="26">
        <f>ABS(Forecast_Model!J25-Forecast_Model!K25)</f>
        <v>142.3333333</v>
      </c>
      <c r="J25" s="26">
        <f>ABS(Forecast_Model!J25-Forecast_Model!L25)</f>
        <v>206.5</v>
      </c>
      <c r="K25" s="26">
        <f>ABS(Forecast_Model!J25-Forecast_Model!M25)</f>
        <v>123.6</v>
      </c>
      <c r="L25" s="26">
        <f>ABS(Forecast_Model!J25-Forecast_Model!N25)</f>
        <v>120.3791438</v>
      </c>
      <c r="M25" s="26">
        <f>ABS(Forecast_Model!J25-Forecast_Model!O25)</f>
        <v>176.8972332</v>
      </c>
      <c r="N25" s="26">
        <v>263.0</v>
      </c>
      <c r="O25" s="26">
        <f>ABS(Forecast_Model!Q25-Forecast_Model!R25)</f>
        <v>63.33333333</v>
      </c>
      <c r="P25" s="26">
        <f>ABS(Forecast_Model!Q25-Forecast_Model!S25)</f>
        <v>89.16666667</v>
      </c>
      <c r="Q25" s="26">
        <f>ABS(Forecast_Model!Q25-Forecast_Model!T25)</f>
        <v>55.6</v>
      </c>
      <c r="R25" s="26">
        <f>ABS(Forecast_Model!Q25-Forecast_Model!U25)</f>
        <v>52.7254842</v>
      </c>
      <c r="S25" s="26">
        <f>ABS(Forecast_Model!Q25-Forecast_Model!V25)</f>
        <v>76.54545455</v>
      </c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3" t="s">
        <v>56</v>
      </c>
      <c r="B30" s="23" t="s">
        <v>17</v>
      </c>
      <c r="C30" s="23" t="s">
        <v>18</v>
      </c>
      <c r="D30" s="23" t="s">
        <v>19</v>
      </c>
      <c r="E30" s="23" t="s">
        <v>20</v>
      </c>
      <c r="F30" s="23" t="s">
        <v>21</v>
      </c>
      <c r="G30" s="23" t="s">
        <v>24</v>
      </c>
      <c r="H30" s="23" t="s">
        <v>25</v>
      </c>
      <c r="I30" s="23" t="s">
        <v>26</v>
      </c>
      <c r="J30" s="23" t="s">
        <v>27</v>
      </c>
      <c r="K30" s="23" t="s">
        <v>28</v>
      </c>
      <c r="L30" s="23" t="s">
        <v>31</v>
      </c>
      <c r="M30" s="23" t="s">
        <v>32</v>
      </c>
      <c r="N30" s="23" t="s">
        <v>33</v>
      </c>
      <c r="O30" s="23" t="s">
        <v>34</v>
      </c>
      <c r="P30" s="23" t="s">
        <v>35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5" t="s">
        <v>57</v>
      </c>
      <c r="B31" s="26">
        <f t="array" ref="B31">AVERAGE(ABS(Forecast_Model!C5:C24-Forecast_Model!D5:D24))</f>
        <v>48.28333333</v>
      </c>
      <c r="C31" s="26">
        <f t="array" ref="C31">AVERAGE(ABS(Forecast_Model!C8:C24-Forecast_Model!E8:E24))</f>
        <v>58.20588235</v>
      </c>
      <c r="D31" s="26">
        <f t="array" ref="D31">AVERAGE(ABS(Forecast_Model!C5:C24-Forecast_Model!F5:F24))</f>
        <v>44.52</v>
      </c>
      <c r="E31" s="26">
        <f t="array" ref="E31">AVERAGE(ABS(Forecast_Model!C2:C24-Forecast_Model!G2:G24))</f>
        <v>31.27535421</v>
      </c>
      <c r="F31" s="26">
        <f t="array" ref="F31">AVERAGE(ABS(Forecast_Model!C2:C24-Forecast_Model!H2:H24))</f>
        <v>40.18095893</v>
      </c>
      <c r="G31" s="26">
        <f t="array" ref="G31">AVERAGE(ABS(Forecast_Model!J5:J24-Forecast_Model!K5:K24))</f>
        <v>59.46666667</v>
      </c>
      <c r="H31" s="26">
        <f t="array" ref="H31">AVERAGE(ABS(Forecast_Model!J8:J24-Forecast_Model!L8:L24))</f>
        <v>74.10784314</v>
      </c>
      <c r="I31" s="26">
        <f t="array" ref="I31">AVERAGE(ABS(Forecast_Model!J5:J24-Forecast_Model!M5:M24))</f>
        <v>55.47</v>
      </c>
      <c r="J31" s="26">
        <f t="array" ref="J31">AVERAGE(ABS(Forecast_Model!J2:J24-Forecast_Model!N2:N24))</f>
        <v>37.43963929</v>
      </c>
      <c r="K31" s="26">
        <f t="array" ref="K31">AVERAGE(ABS(Forecast_Model!J2:J24-Forecast_Model!O2:O24))</f>
        <v>48.02251246</v>
      </c>
      <c r="L31" s="26">
        <f t="array" ref="L31">AVERAGE(ABS(Forecast_Model!Q5:Q24-Forecast_Model!R5:R24))</f>
        <v>24.9</v>
      </c>
      <c r="M31" s="26">
        <f t="array" ref="M31">AVERAGE(ABS(Forecast_Model!Q8:Q24-Forecast_Model!S8:S24))</f>
        <v>30.09803922</v>
      </c>
      <c r="N31" s="26">
        <f t="array" ref="N31">AVERAGE(ABS(Forecast_Model!Q5:Q24-Forecast_Model!T5:T24))</f>
        <v>22.78</v>
      </c>
      <c r="O31" s="26">
        <f t="array" ref="O31">AVERAGE(ABS(Forecast_Model!Q2:Q24-Forecast_Model!U2:U24))</f>
        <v>15.93640229</v>
      </c>
      <c r="P31" s="26">
        <f t="array" ref="P31">AVERAGE(ABS(Forecast_Model!Q2:Q24-Forecast_Model!V2:V24))</f>
        <v>20.40109985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5" t="s">
        <v>58</v>
      </c>
      <c r="B32" s="26">
        <f t="array" ref="B32">AVERAGE(ABS((Forecast_Model!C5:C24-Forecast_Model!D5:D24)/Forecast_Model!C5:C24))*100</f>
        <v>14.18857002</v>
      </c>
      <c r="C32" s="26">
        <f t="array" ref="C32">AVERAGE(ABS((Forecast_Model!C8:C24-Forecast_Model!E8:E24)/Forecast_Model!C8:C24))*100</f>
        <v>16.21872105</v>
      </c>
      <c r="D32" s="26">
        <f t="array" ref="D32">AVERAGE(ABS((Forecast_Model!C5:C24-Forecast_Model!F5:F24)/Forecast_Model!C5:C24))*100</f>
        <v>13.18422127</v>
      </c>
      <c r="E32" s="26">
        <f t="array" ref="E32">AVERAGE(ABS((Forecast_Model!C2:C24-Forecast_Model!G2:G24)/Forecast_Model!C2:C24))*100</f>
        <v>9.062320043</v>
      </c>
      <c r="F32" s="26">
        <f t="array" ref="F32">AVERAGE(ABS((Forecast_Model!C2:C24-Forecast_Model!H2:H24)/Forecast_Model!C2:C24))*100</f>
        <v>11.86996566</v>
      </c>
      <c r="G32" s="26">
        <f t="array" ref="G32">AVERAGE(ABS((Forecast_Model!J5:J24-Forecast_Model!K5:K24)/Forecast_Model!J5:J24))*100</f>
        <v>9.345876317</v>
      </c>
      <c r="H32" s="26">
        <f t="array" ref="H32">AVERAGE(ABS((Forecast_Model!J8:J24-Forecast_Model!L8:L24)/Forecast_Model!J8:J24))*100</f>
        <v>11.34195536</v>
      </c>
      <c r="I32" s="26">
        <f t="array" ref="I32">AVERAGE(ABS((Forecast_Model!J5:J24-Forecast_Model!M5:M24)/Forecast_Model!J5:J24))*100</f>
        <v>8.792428965</v>
      </c>
      <c r="J32" s="26">
        <f t="array" ref="J32">AVERAGE(ABS((Forecast_Model!J2:J24-Forecast_Model!N2:N24)/Forecast_Model!J2:J24))*100</f>
        <v>5.843272113</v>
      </c>
      <c r="K32" s="26">
        <f t="array" ref="K32">AVERAGE(ABS((Forecast_Model!J2:J24-Forecast_Model!O2:O24)/Forecast_Model!J2:J24))*100</f>
        <v>7.616178769</v>
      </c>
      <c r="L32" s="27">
        <f t="array" ref="L32">AVERAGE(ABS((Forecast_Model!Q5:Q24-Forecast_Model!R5:R24)/Forecast_Model!Q5:Q24))*100</f>
        <v>14.61326488</v>
      </c>
      <c r="M32" s="26">
        <f t="array" ref="M32">AVERAGE(ABS((Forecast_Model!Q8:Q24-Forecast_Model!S8:S24)/Forecast_Model!Q8:Q24))*100</f>
        <v>16.74140653</v>
      </c>
      <c r="N32" s="26">
        <f t="array" ref="N32">AVERAGE(ABS((Forecast_Model!Q5:Q24-Forecast_Model!T5:T24)/Forecast_Model!Q5:Q24))*100</f>
        <v>13.4957884</v>
      </c>
      <c r="O32" s="26">
        <f t="array" ref="O32">AVERAGE(ABS((Forecast_Model!Q2:Q24-Forecast_Model!U2:U24)/Forecast_Model!Q2:Q24))*100</f>
        <v>9.216009516</v>
      </c>
      <c r="P32" s="26">
        <f t="array" ref="P32">AVERAGE(ABS((Forecast_Model!Q2:Q24-Forecast_Model!V2:V24)/Forecast_Model!Q2:Q24))*100</f>
        <v>12.00508923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5" t="s">
        <v>59</v>
      </c>
      <c r="B33" s="26">
        <f>SQRT(SUMPRODUCT((Forecast_Model!C5:C24-Forecast_Model!D5:D24)^2/COUNT(Forecast_Model!D5:D24)))</f>
        <v>65.00576897</v>
      </c>
      <c r="C33" s="26">
        <f>SQRT(SUMPRODUCT((Forecast_Model!C8:C24-Forecast_Model!E8:E24)^2/COUNT(Forecast_Model!E8:E24)))</f>
        <v>72.6367428</v>
      </c>
      <c r="D33" s="26">
        <f>SQRT(SUMPRODUCT((Forecast_Model!C5:C24-Forecast_Model!F5:F24)^2/COUNT(Forecast_Model!F5:F24)))</f>
        <v>61.33364493</v>
      </c>
      <c r="E33" s="26">
        <f>SQRT(SUMPRODUCT((Forecast_Model!C2:C24-Forecast_Model!G2:G24)^2/COUNT(Forecast_Model!G2:G24)))</f>
        <v>41.9254677</v>
      </c>
      <c r="F33" s="26">
        <f>SQRT(SUMPRODUCT((Forecast_Model!C2:C24-Forecast_Model!H2:H24)^2/COUNT(Forecast_Model!H2:H24)))</f>
        <v>54.03800027</v>
      </c>
      <c r="G33" s="26">
        <f>SQRT(SUMPRODUCT((Forecast_Model!J5:J24-Forecast_Model!K5:K24)^2/COUNT(Forecast_Model!K5:K24)))</f>
        <v>77.66530757</v>
      </c>
      <c r="H33" s="26">
        <f>SQRT(SUMPRODUCT((Forecast_Model!J8:J24-Forecast_Model!L8:L24)^2/COUNT(Forecast_Model!L8:L24)))</f>
        <v>90.5357601</v>
      </c>
      <c r="I33" s="26">
        <f>SQRT(SUMPRODUCT((Forecast_Model!J5:J24-Forecast_Model!M5:M24)^2/COUNT(Forecast_Model!M5:M24)))</f>
        <v>73.18358422</v>
      </c>
      <c r="J33" s="26">
        <f>SQRT(SUMPRODUCT((Forecast_Model!J2:J24-Forecast_Model!N2:N24)^2/COUNT(Forecast_Model!N2:N24)))</f>
        <v>49.98534076</v>
      </c>
      <c r="K33" s="26">
        <f>SQRT(SUMPRODUCT((Forecast_Model!J2:J24-Forecast_Model!O2:O24)^2/COUNT(Forecast_Model!O2:O24)))</f>
        <v>65.72379381</v>
      </c>
      <c r="L33" s="26">
        <f>SQRT(SUMPRODUCT((Forecast_Model!Q5:Q24-Forecast_Model!R5:R24)^2/COUNT(Forecast_Model!R5:R24)))</f>
        <v>33.31416115</v>
      </c>
      <c r="M33" s="26">
        <f>SQRT(SUMPRODUCT((Forecast_Model!Q8:Q24-Forecast_Model!S8:S24)^2/COUNT(Forecast_Model!S8:S24)))</f>
        <v>37.37169773</v>
      </c>
      <c r="N33" s="26">
        <f>SQRT(SUMPRODUCT((Forecast_Model!Q5:Q24-Forecast_Model!T5:T24)^2/COUNT(Forecast_Model!T5:T24)))</f>
        <v>31.60511035</v>
      </c>
      <c r="O33" s="26">
        <f>SQRT(SUMPRODUCT((Forecast_Model!Q2:Q24-Forecast_Model!U2:U24)^2/COUNT(Forecast_Model!U2:U24)))</f>
        <v>21.50268564</v>
      </c>
      <c r="P33" s="26">
        <f>SQRT(SUMPRODUCT((Forecast_Model!Q2:Q24-Forecast_Model!V2:V24)^2/COUNT(Forecast_Model!V2:V24)))</f>
        <v>27.72914189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5" t="s">
        <v>60</v>
      </c>
      <c r="B34" s="26">
        <f t="array" ref="B34">SUM(Forecast_Model!C5:C24-Forecast_Model!D5:D24)/COUNT(Forecast_Model!D5:D24)</f>
        <v>12.88333333</v>
      </c>
      <c r="C34" s="26">
        <f t="array" ref="C34">SUM(Forecast_Model!C8:C24-Forecast_Model!E8:E24)/COUNT(Forecast_Model!E8:E24)</f>
        <v>18.16666667</v>
      </c>
      <c r="D34" s="26">
        <f t="array" ref="D34">SUM(Forecast_Model!C5:C24-Forecast_Model!F5:F24)/COUNT(Forecast_Model!F5:F24)</f>
        <v>11.18</v>
      </c>
      <c r="E34" s="26">
        <f t="array" ref="E34">SUM(Forecast_Model!C2:C24-Forecast_Model!G2:G24)/COUNT(Forecast_Model!G2:G24)</f>
        <v>13.13620333</v>
      </c>
      <c r="F34" s="26">
        <f t="array" ref="F34">SUM(Forecast_Model!C2:C24-Forecast_Model!H2:H24)/COUNT(Forecast_Model!H2:H24)</f>
        <v>0</v>
      </c>
      <c r="G34" s="26">
        <f t="array" ref="G34">SUM(Forecast_Model!J5:J24-Forecast_Model!K5:K24)/COUNT(Forecast_Model!K5:K24)</f>
        <v>14.53333333</v>
      </c>
      <c r="H34" s="26">
        <f t="array" ref="H34">SUM(Forecast_Model!J8:J24-Forecast_Model!L8:L24)/COUNT(Forecast_Model!L8:L24)</f>
        <v>22.3627451</v>
      </c>
      <c r="I34" s="26">
        <f t="array" ref="I34">SUM(Forecast_Model!J5:J24-Forecast_Model!M5:M24)/COUNT(Forecast_Model!M5:M24)</f>
        <v>12.78</v>
      </c>
      <c r="J34" s="26">
        <f t="array" ref="J34">SUM(Forecast_Model!J2:J24-Forecast_Model!N2:N24)/COUNT(Forecast_Model!N2:N24)</f>
        <v>13.19142844</v>
      </c>
      <c r="K34" s="26">
        <f t="array" ref="K34">SUM(Forecast_Model!J2:J24-Forecast_Model!O2:O24)/COUNT(Forecast_Model!O2:O24)</f>
        <v>0</v>
      </c>
      <c r="L34" s="26">
        <f t="array" ref="L34">SUM(Forecast_Model!Q5:Q24-Forecast_Model!R5:R24)/COUNT(Forecast_Model!R5:R24)</f>
        <v>6.466666667</v>
      </c>
      <c r="M34" s="26">
        <f t="array" ref="M34">SUM(Forecast_Model!Q8:Q24-Forecast_Model!S8:S24)/COUNT(Forecast_Model!S8:S24)</f>
        <v>9.274509804</v>
      </c>
      <c r="N34" s="26">
        <f t="array" ref="N34">SUM(Forecast_Model!Q5:Q24-Forecast_Model!T5:T24)/COUNT(Forecast_Model!T5:T24)</f>
        <v>5.61</v>
      </c>
      <c r="O34" s="26">
        <f t="array" ref="O34">SUM(Forecast_Model!Q2:Q24-Forecast_Model!U2)/COUNT(Forecast_Model!U2:U24)</f>
        <v>38.69565217</v>
      </c>
      <c r="P34" s="26">
        <f t="array" ref="P34">SUM(Forecast_Model!Q2:Q24-Forecast_Model!V2:V24)/COUNT(Forecast_Model!V2:V24)</f>
        <v>0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1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1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1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1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14"/>
      <c r="B953" s="14"/>
      <c r="C953" s="14"/>
      <c r="D953" s="14"/>
      <c r="E953" s="14"/>
      <c r="F953" s="14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14"/>
      <c r="B954" s="14"/>
      <c r="C954" s="14"/>
      <c r="D954" s="14"/>
      <c r="E954" s="14"/>
      <c r="F954" s="14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14"/>
      <c r="B955" s="14"/>
      <c r="C955" s="14"/>
      <c r="D955" s="14"/>
      <c r="E955" s="14"/>
      <c r="F955" s="14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14"/>
      <c r="B956" s="14"/>
      <c r="C956" s="14"/>
      <c r="D956" s="14"/>
      <c r="E956" s="14"/>
      <c r="F956" s="14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14"/>
      <c r="B957" s="14"/>
      <c r="C957" s="14"/>
      <c r="D957" s="14"/>
      <c r="E957" s="14"/>
      <c r="F957" s="14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14"/>
      <c r="B958" s="14"/>
      <c r="C958" s="14"/>
      <c r="D958" s="14"/>
      <c r="E958" s="14"/>
      <c r="F958" s="14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14"/>
      <c r="B959" s="14"/>
      <c r="C959" s="14"/>
      <c r="D959" s="14"/>
      <c r="E959" s="14"/>
      <c r="F959" s="14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14"/>
      <c r="B960" s="14"/>
      <c r="C960" s="14"/>
      <c r="D960" s="14"/>
      <c r="E960" s="14"/>
      <c r="F960" s="14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14"/>
      <c r="B961" s="14"/>
      <c r="C961" s="14"/>
      <c r="D961" s="14"/>
      <c r="E961" s="14"/>
      <c r="F961" s="14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14"/>
      <c r="B962" s="14"/>
      <c r="C962" s="14"/>
      <c r="D962" s="14"/>
      <c r="E962" s="14"/>
      <c r="F962" s="14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14"/>
      <c r="B963" s="14"/>
      <c r="C963" s="14"/>
      <c r="D963" s="14"/>
      <c r="E963" s="14"/>
      <c r="F963" s="14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14"/>
      <c r="B964" s="14"/>
      <c r="C964" s="14"/>
      <c r="D964" s="14"/>
      <c r="E964" s="14"/>
      <c r="F964" s="14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14"/>
      <c r="B965" s="14"/>
      <c r="C965" s="14"/>
      <c r="D965" s="14"/>
      <c r="E965" s="14"/>
      <c r="F965" s="14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14"/>
      <c r="B966" s="14"/>
      <c r="C966" s="14"/>
      <c r="D966" s="14"/>
      <c r="E966" s="14"/>
      <c r="F966" s="14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14"/>
      <c r="B967" s="14"/>
      <c r="C967" s="14"/>
      <c r="D967" s="14"/>
      <c r="E967" s="14"/>
      <c r="F967" s="14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14"/>
      <c r="B968" s="14"/>
      <c r="C968" s="14"/>
      <c r="D968" s="14"/>
      <c r="E968" s="14"/>
      <c r="F968" s="14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14"/>
      <c r="B969" s="14"/>
      <c r="C969" s="14"/>
      <c r="D969" s="14"/>
      <c r="E969" s="14"/>
      <c r="F969" s="14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14"/>
      <c r="B970" s="14"/>
      <c r="C970" s="14"/>
      <c r="D970" s="14"/>
      <c r="E970" s="14"/>
      <c r="F970" s="14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14"/>
      <c r="B971" s="14"/>
      <c r="C971" s="14"/>
      <c r="D971" s="14"/>
      <c r="E971" s="14"/>
      <c r="F971" s="14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14"/>
      <c r="B972" s="14"/>
      <c r="C972" s="14"/>
      <c r="D972" s="14"/>
      <c r="E972" s="14"/>
      <c r="F972" s="14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14"/>
      <c r="B973" s="14"/>
      <c r="C973" s="14"/>
      <c r="D973" s="14"/>
      <c r="E973" s="14"/>
      <c r="F973" s="14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14"/>
      <c r="B974" s="14"/>
      <c r="C974" s="14"/>
      <c r="D974" s="14"/>
      <c r="E974" s="14"/>
      <c r="F974" s="14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"/>
      <c r="U975" s="2"/>
      <c r="V975" s="2"/>
      <c r="W975" s="2"/>
      <c r="X975" s="2"/>
      <c r="Y975" s="2"/>
      <c r="Z975" s="2"/>
    </row>
    <row r="976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"/>
      <c r="U976" s="2"/>
      <c r="V976" s="2"/>
      <c r="W976" s="2"/>
      <c r="X976" s="2"/>
      <c r="Y976" s="2"/>
      <c r="Z976" s="2"/>
    </row>
    <row r="977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"/>
      <c r="U977" s="2"/>
      <c r="V977" s="2"/>
      <c r="W977" s="2"/>
      <c r="X977" s="2"/>
      <c r="Y977" s="2"/>
      <c r="Z977" s="2"/>
    </row>
    <row r="978" ht="15.75" customHeight="1">
      <c r="A978" s="28"/>
      <c r="B978" s="28"/>
      <c r="C978" s="28"/>
      <c r="D978" s="28"/>
      <c r="E978" s="28"/>
      <c r="F978" s="29" t="s">
        <v>1</v>
      </c>
      <c r="G978" s="28" t="s">
        <v>39</v>
      </c>
      <c r="H978" s="28" t="s">
        <v>40</v>
      </c>
      <c r="I978" s="28" t="s">
        <v>41</v>
      </c>
      <c r="J978" s="28" t="s">
        <v>42</v>
      </c>
      <c r="K978" s="28" t="s">
        <v>43</v>
      </c>
      <c r="L978" s="28" t="s">
        <v>39</v>
      </c>
      <c r="M978" s="28" t="s">
        <v>40</v>
      </c>
      <c r="N978" s="28" t="s">
        <v>41</v>
      </c>
      <c r="O978" s="28" t="s">
        <v>42</v>
      </c>
      <c r="P978" s="28" t="s">
        <v>43</v>
      </c>
      <c r="Q978" s="28" t="s">
        <v>61</v>
      </c>
      <c r="R978" s="28"/>
      <c r="S978" s="28"/>
      <c r="T978" s="2"/>
      <c r="U978" s="2"/>
      <c r="V978" s="2"/>
      <c r="W978" s="2"/>
      <c r="X978" s="2"/>
      <c r="Y978" s="2"/>
      <c r="Z978" s="2"/>
    </row>
    <row r="979" ht="15.75" customHeight="1">
      <c r="A979" s="28"/>
      <c r="B979" s="28"/>
      <c r="C979" s="28"/>
      <c r="D979" s="28"/>
      <c r="E979" s="28"/>
      <c r="F979" s="30">
        <v>44927.0</v>
      </c>
      <c r="G979" s="28"/>
      <c r="H979" s="28"/>
      <c r="I979" s="28"/>
      <c r="J979" s="28">
        <v>0.0</v>
      </c>
      <c r="K979" s="28">
        <v>33.358695652173935</v>
      </c>
      <c r="L979" s="28"/>
      <c r="M979" s="28"/>
      <c r="N979" s="28"/>
      <c r="O979" s="28"/>
      <c r="P979" s="28">
        <f t="shared" ref="P979:P1002" si="1">ABS(G979-K979)</f>
        <v>33.35869565</v>
      </c>
      <c r="Q979" s="28"/>
      <c r="R979" s="28"/>
      <c r="S979" s="28"/>
      <c r="T979" s="2"/>
      <c r="U979" s="2"/>
      <c r="V979" s="2"/>
      <c r="W979" s="2"/>
      <c r="X979" s="2"/>
      <c r="Y979" s="2"/>
      <c r="Z979" s="2"/>
    </row>
    <row r="980" ht="15.75" customHeight="1">
      <c r="A980" s="28"/>
      <c r="B980" s="28"/>
      <c r="C980" s="28"/>
      <c r="D980" s="28"/>
      <c r="E980" s="28"/>
      <c r="F980" s="30">
        <v>44958.0</v>
      </c>
      <c r="G980" s="28"/>
      <c r="H980" s="28"/>
      <c r="I980" s="28"/>
      <c r="J980" s="28">
        <v>11.200000000000045</v>
      </c>
      <c r="K980" s="28">
        <v>14.405138339920939</v>
      </c>
      <c r="L980" s="28"/>
      <c r="M980" s="28"/>
      <c r="N980" s="28"/>
      <c r="O980" s="28"/>
      <c r="P980" s="28">
        <f t="shared" si="1"/>
        <v>14.40513834</v>
      </c>
      <c r="Q980" s="28"/>
      <c r="R980" s="28"/>
      <c r="S980" s="28"/>
      <c r="T980" s="2"/>
      <c r="U980" s="2"/>
      <c r="V980" s="2"/>
      <c r="W980" s="2"/>
      <c r="X980" s="2"/>
      <c r="Y980" s="2"/>
      <c r="Z980" s="2"/>
    </row>
    <row r="981" ht="15.75" customHeight="1">
      <c r="A981" s="28"/>
      <c r="B981" s="28"/>
      <c r="C981" s="28"/>
      <c r="D981" s="28"/>
      <c r="E981" s="28"/>
      <c r="F981" s="30">
        <v>44986.0</v>
      </c>
      <c r="G981" s="28"/>
      <c r="H981" s="28"/>
      <c r="I981" s="28"/>
      <c r="J981" s="28">
        <v>36.54000000000008</v>
      </c>
      <c r="K981" s="28">
        <v>25.548418972332</v>
      </c>
      <c r="L981" s="28"/>
      <c r="M981" s="28"/>
      <c r="N981" s="28"/>
      <c r="O981" s="28">
        <f t="shared" ref="O981:O1002" si="2">ABS(G981-J981)</f>
        <v>36.54</v>
      </c>
      <c r="P981" s="28">
        <f t="shared" si="1"/>
        <v>25.54841897</v>
      </c>
      <c r="Q981" s="28"/>
      <c r="R981" s="28"/>
      <c r="S981" s="28"/>
      <c r="T981" s="2"/>
      <c r="U981" s="2"/>
      <c r="V981" s="2"/>
      <c r="W981" s="2"/>
      <c r="X981" s="2"/>
      <c r="Y981" s="2"/>
      <c r="Z981" s="2"/>
    </row>
    <row r="982" ht="15.75" customHeight="1">
      <c r="A982" s="28"/>
      <c r="B982" s="28"/>
      <c r="C982" s="28"/>
      <c r="D982" s="28"/>
      <c r="E982" s="28"/>
      <c r="F982" s="30">
        <v>45017.0</v>
      </c>
      <c r="G982" s="28">
        <v>12.0</v>
      </c>
      <c r="H982" s="28"/>
      <c r="I982" s="28">
        <v>1.6000000000000227</v>
      </c>
      <c r="J982" s="28">
        <v>5.22199999999998</v>
      </c>
      <c r="K982" s="28">
        <v>3.498023715415002</v>
      </c>
      <c r="L982" s="28">
        <f t="shared" ref="L982:L1002" si="3">ABS(G982-H982)</f>
        <v>12</v>
      </c>
      <c r="M982" s="28"/>
      <c r="N982" s="28">
        <f t="shared" ref="N982:N1002" si="4">ABS(G982-I982)</f>
        <v>10.4</v>
      </c>
      <c r="O982" s="28">
        <f t="shared" si="2"/>
        <v>6.778</v>
      </c>
      <c r="P982" s="28">
        <f t="shared" si="1"/>
        <v>8.501976285</v>
      </c>
      <c r="Q982" s="28">
        <f t="shared" ref="Q982:Q1002" si="5">ABS((G982-I982)/G982)*100</f>
        <v>86.66666667</v>
      </c>
      <c r="R982" s="28"/>
      <c r="S982" s="28"/>
      <c r="T982" s="2"/>
      <c r="U982" s="2"/>
      <c r="V982" s="2"/>
      <c r="W982" s="2"/>
      <c r="X982" s="2"/>
      <c r="Y982" s="2"/>
      <c r="Z982" s="2"/>
    </row>
    <row r="983" ht="15.75" customHeight="1">
      <c r="A983" s="28"/>
      <c r="B983" s="28"/>
      <c r="C983" s="28"/>
      <c r="D983" s="28"/>
      <c r="E983" s="28"/>
      <c r="F983" s="30">
        <v>45047.0</v>
      </c>
      <c r="G983" s="28">
        <v>6.0</v>
      </c>
      <c r="H983" s="28"/>
      <c r="I983" s="28">
        <v>4.300000000000011</v>
      </c>
      <c r="J983" s="28">
        <v>11.744599999999991</v>
      </c>
      <c r="K983" s="28">
        <v>0.45553359683793815</v>
      </c>
      <c r="L983" s="28">
        <f t="shared" si="3"/>
        <v>6</v>
      </c>
      <c r="M983" s="28"/>
      <c r="N983" s="28">
        <f t="shared" si="4"/>
        <v>1.7</v>
      </c>
      <c r="O983" s="28">
        <f t="shared" si="2"/>
        <v>5.7446</v>
      </c>
      <c r="P983" s="28">
        <f t="shared" si="1"/>
        <v>5.544466403</v>
      </c>
      <c r="Q983" s="28">
        <f t="shared" si="5"/>
        <v>28.33333333</v>
      </c>
      <c r="R983" s="28"/>
      <c r="S983" s="28"/>
      <c r="T983" s="2"/>
      <c r="U983" s="2"/>
      <c r="V983" s="2"/>
      <c r="W983" s="2"/>
      <c r="X983" s="2"/>
      <c r="Y983" s="2"/>
      <c r="Z983" s="2"/>
    </row>
    <row r="984" ht="15.75" customHeight="1">
      <c r="A984" s="28"/>
      <c r="B984" s="28"/>
      <c r="C984" s="28"/>
      <c r="D984" s="28"/>
      <c r="E984" s="28"/>
      <c r="F984" s="30">
        <v>45078.0</v>
      </c>
      <c r="G984" s="28">
        <v>20.0</v>
      </c>
      <c r="H984" s="28"/>
      <c r="I984" s="28">
        <v>18.0</v>
      </c>
      <c r="J984" s="28">
        <v>14.878780000000006</v>
      </c>
      <c r="K984" s="28">
        <v>20.590909090909122</v>
      </c>
      <c r="L984" s="28">
        <f t="shared" si="3"/>
        <v>20</v>
      </c>
      <c r="M984" s="28"/>
      <c r="N984" s="28">
        <f t="shared" si="4"/>
        <v>2</v>
      </c>
      <c r="O984" s="28">
        <f t="shared" si="2"/>
        <v>5.12122</v>
      </c>
      <c r="P984" s="28">
        <f t="shared" si="1"/>
        <v>0.5909090909</v>
      </c>
      <c r="Q984" s="28">
        <f t="shared" si="5"/>
        <v>10</v>
      </c>
      <c r="R984" s="28"/>
      <c r="S984" s="28"/>
      <c r="T984" s="2"/>
      <c r="U984" s="2"/>
      <c r="V984" s="2"/>
      <c r="W984" s="2"/>
      <c r="X984" s="2"/>
      <c r="Y984" s="2"/>
      <c r="Z984" s="2"/>
    </row>
    <row r="985" ht="15.75" customHeight="1">
      <c r="A985" s="28" t="s">
        <v>56</v>
      </c>
      <c r="B985" s="28" t="s">
        <v>58</v>
      </c>
      <c r="C985" s="28" t="s">
        <v>59</v>
      </c>
      <c r="D985" s="28" t="s">
        <v>60</v>
      </c>
      <c r="E985" s="28" t="s">
        <v>57</v>
      </c>
      <c r="F985" s="30">
        <v>45108.0</v>
      </c>
      <c r="G985" s="28">
        <v>21.666666666666686</v>
      </c>
      <c r="H985" s="28">
        <v>15.833333333333314</v>
      </c>
      <c r="I985" s="28">
        <v>19.899999999999977</v>
      </c>
      <c r="J985" s="28">
        <v>19.51514599999996</v>
      </c>
      <c r="K985" s="28">
        <v>37.637351778656125</v>
      </c>
      <c r="L985" s="28">
        <f t="shared" si="3"/>
        <v>5.833333333</v>
      </c>
      <c r="M985" s="28">
        <f t="shared" ref="M985:M1002" si="6">ABS(G985-H985)</f>
        <v>5.833333333</v>
      </c>
      <c r="N985" s="28">
        <f t="shared" si="4"/>
        <v>1.766666667</v>
      </c>
      <c r="O985" s="28">
        <f t="shared" si="2"/>
        <v>2.151520667</v>
      </c>
      <c r="P985" s="28">
        <f t="shared" si="1"/>
        <v>15.97068511</v>
      </c>
      <c r="Q985" s="28">
        <f t="shared" si="5"/>
        <v>8.153846154</v>
      </c>
      <c r="R985" s="28"/>
      <c r="S985" s="28"/>
      <c r="T985" s="2"/>
      <c r="U985" s="2"/>
      <c r="V985" s="2"/>
      <c r="W985" s="2"/>
      <c r="X985" s="2"/>
      <c r="Y985" s="2"/>
      <c r="Z985" s="2"/>
    </row>
    <row r="986" ht="15.75" customHeight="1">
      <c r="A986" s="28" t="s">
        <v>17</v>
      </c>
      <c r="B986" s="28">
        <v>14.188570019970454</v>
      </c>
      <c r="C986" s="28">
        <v>65.00576897476101</v>
      </c>
      <c r="D986" s="28">
        <v>12.883333333333336</v>
      </c>
      <c r="E986" s="28">
        <v>48.28333333333334</v>
      </c>
      <c r="F986" s="30">
        <v>45139.0</v>
      </c>
      <c r="G986" s="28">
        <v>9.666666666666686</v>
      </c>
      <c r="H986" s="28">
        <v>4.833333333333314</v>
      </c>
      <c r="I986" s="28">
        <v>14.100000000000023</v>
      </c>
      <c r="J986" s="28">
        <v>10.839397800000029</v>
      </c>
      <c r="K986" s="28">
        <v>17.683794466403185</v>
      </c>
      <c r="L986" s="28">
        <f t="shared" si="3"/>
        <v>4.833333333</v>
      </c>
      <c r="M986" s="28">
        <f t="shared" si="6"/>
        <v>4.833333333</v>
      </c>
      <c r="N986" s="28">
        <f t="shared" si="4"/>
        <v>4.433333333</v>
      </c>
      <c r="O986" s="28">
        <f t="shared" si="2"/>
        <v>1.172731133</v>
      </c>
      <c r="P986" s="28">
        <f t="shared" si="1"/>
        <v>8.0171278</v>
      </c>
      <c r="Q986" s="28">
        <f t="shared" si="5"/>
        <v>45.86206897</v>
      </c>
      <c r="R986" s="28"/>
      <c r="S986" s="28"/>
      <c r="T986" s="2"/>
      <c r="U986" s="2"/>
      <c r="V986" s="2"/>
      <c r="W986" s="2"/>
      <c r="X986" s="2"/>
      <c r="Y986" s="2"/>
      <c r="Z986" s="2"/>
    </row>
    <row r="987" ht="15.75" customHeight="1">
      <c r="A987" s="28" t="s">
        <v>18</v>
      </c>
      <c r="B987" s="28">
        <v>16.21872104605199</v>
      </c>
      <c r="C987" s="28">
        <v>72.63674280437387</v>
      </c>
      <c r="D987" s="28">
        <v>18.166666666666668</v>
      </c>
      <c r="E987" s="28">
        <v>58.205882352941174</v>
      </c>
      <c r="F987" s="30">
        <v>45170.0</v>
      </c>
      <c r="G987" s="28">
        <v>56.666666666666686</v>
      </c>
      <c r="H987" s="28">
        <v>46.333333333333314</v>
      </c>
      <c r="I987" s="28">
        <v>54.39999999999998</v>
      </c>
      <c r="J987" s="28">
        <v>46.78757846000008</v>
      </c>
      <c r="K987" s="28">
        <v>23.26976284584981</v>
      </c>
      <c r="L987" s="28">
        <f t="shared" si="3"/>
        <v>10.33333333</v>
      </c>
      <c r="M987" s="28">
        <f t="shared" si="6"/>
        <v>10.33333333</v>
      </c>
      <c r="N987" s="28">
        <f t="shared" si="4"/>
        <v>2.266666667</v>
      </c>
      <c r="O987" s="28">
        <f t="shared" si="2"/>
        <v>9.879088207</v>
      </c>
      <c r="P987" s="28">
        <f t="shared" si="1"/>
        <v>33.39690382</v>
      </c>
      <c r="Q987" s="28">
        <f t="shared" si="5"/>
        <v>4</v>
      </c>
      <c r="R987" s="28"/>
      <c r="S987" s="28"/>
      <c r="T987" s="2"/>
      <c r="U987" s="2"/>
      <c r="V987" s="2"/>
      <c r="W987" s="2"/>
      <c r="X987" s="2"/>
      <c r="Y987" s="2"/>
      <c r="Z987" s="2"/>
    </row>
    <row r="988" ht="15.75" customHeight="1">
      <c r="A988" s="28" t="s">
        <v>19</v>
      </c>
      <c r="B988" s="28">
        <v>13.184221272039842</v>
      </c>
      <c r="C988" s="28">
        <v>61.333644926744725</v>
      </c>
      <c r="D988" s="28">
        <v>11.180000000000007</v>
      </c>
      <c r="E988" s="28">
        <v>44.52</v>
      </c>
      <c r="F988" s="30">
        <v>45200.0</v>
      </c>
      <c r="G988" s="28">
        <v>60.0</v>
      </c>
      <c r="H988" s="28">
        <v>64.66666666666669</v>
      </c>
      <c r="I988" s="28">
        <v>49.30000000000001</v>
      </c>
      <c r="J988" s="28">
        <v>48.15130492200001</v>
      </c>
      <c r="K988" s="28">
        <v>41.22332015810275</v>
      </c>
      <c r="L988" s="28">
        <f t="shared" si="3"/>
        <v>4.666666667</v>
      </c>
      <c r="M988" s="28">
        <f t="shared" si="6"/>
        <v>4.666666667</v>
      </c>
      <c r="N988" s="28">
        <f t="shared" si="4"/>
        <v>10.7</v>
      </c>
      <c r="O988" s="28">
        <f t="shared" si="2"/>
        <v>11.84869508</v>
      </c>
      <c r="P988" s="28">
        <f t="shared" si="1"/>
        <v>18.77667984</v>
      </c>
      <c r="Q988" s="28">
        <f t="shared" si="5"/>
        <v>17.83333333</v>
      </c>
      <c r="R988" s="28"/>
      <c r="S988" s="28"/>
      <c r="T988" s="2"/>
      <c r="U988" s="2"/>
      <c r="V988" s="2"/>
      <c r="W988" s="2"/>
      <c r="X988" s="2"/>
      <c r="Y988" s="2"/>
      <c r="Z988" s="2"/>
    </row>
    <row r="989" ht="15.75" customHeight="1">
      <c r="A989" s="28" t="s">
        <v>20</v>
      </c>
      <c r="B989" s="28">
        <v>9.062320043043426</v>
      </c>
      <c r="C989" s="28">
        <v>41.92546770403514</v>
      </c>
      <c r="D989" s="28">
        <v>13.136203328520851</v>
      </c>
      <c r="E989" s="28">
        <v>31.27535421399647</v>
      </c>
      <c r="F989" s="30">
        <v>45231.0</v>
      </c>
      <c r="G989" s="28">
        <v>98.66666666666669</v>
      </c>
      <c r="H989" s="28">
        <v>122.16666666666669</v>
      </c>
      <c r="I989" s="28">
        <v>89.0</v>
      </c>
      <c r="J989" s="28">
        <v>96.00591344539998</v>
      </c>
      <c r="K989" s="28">
        <v>106.17687747035575</v>
      </c>
      <c r="L989" s="28">
        <f t="shared" si="3"/>
        <v>23.5</v>
      </c>
      <c r="M989" s="28">
        <f t="shared" si="6"/>
        <v>23.5</v>
      </c>
      <c r="N989" s="28">
        <f t="shared" si="4"/>
        <v>9.666666667</v>
      </c>
      <c r="O989" s="28">
        <f t="shared" si="2"/>
        <v>2.660753221</v>
      </c>
      <c r="P989" s="28">
        <f t="shared" si="1"/>
        <v>7.510210804</v>
      </c>
      <c r="Q989" s="28">
        <f t="shared" si="5"/>
        <v>9.797297297</v>
      </c>
      <c r="R989" s="28"/>
      <c r="S989" s="28"/>
      <c r="T989" s="2"/>
      <c r="U989" s="2"/>
      <c r="V989" s="2"/>
      <c r="W989" s="2"/>
      <c r="X989" s="2"/>
      <c r="Y989" s="2"/>
      <c r="Z989" s="2"/>
    </row>
    <row r="990" ht="15.75" customHeight="1">
      <c r="A990" s="28" t="s">
        <v>21</v>
      </c>
      <c r="B990" s="28">
        <v>11.869965658889905</v>
      </c>
      <c r="C990" s="28">
        <v>54.0380002724846</v>
      </c>
      <c r="D990" s="28">
        <v>-5.931487185475619E-14</v>
      </c>
      <c r="E990" s="28">
        <v>40.180958927650806</v>
      </c>
      <c r="F990" s="30">
        <v>45261.0</v>
      </c>
      <c r="G990" s="28">
        <v>106.33333333333331</v>
      </c>
      <c r="H990" s="28">
        <v>153.5</v>
      </c>
      <c r="I990" s="28">
        <v>91.89999999999998</v>
      </c>
      <c r="J990" s="28">
        <v>119.70413941178003</v>
      </c>
      <c r="K990" s="28">
        <v>155.1304347826087</v>
      </c>
      <c r="L990" s="28">
        <f t="shared" si="3"/>
        <v>47.16666667</v>
      </c>
      <c r="M990" s="28">
        <f t="shared" si="6"/>
        <v>47.16666667</v>
      </c>
      <c r="N990" s="28">
        <f t="shared" si="4"/>
        <v>14.43333333</v>
      </c>
      <c r="O990" s="28">
        <f t="shared" si="2"/>
        <v>13.37080608</v>
      </c>
      <c r="P990" s="28">
        <f t="shared" si="1"/>
        <v>48.79710145</v>
      </c>
      <c r="Q990" s="28">
        <f t="shared" si="5"/>
        <v>13.57366771</v>
      </c>
      <c r="R990" s="28"/>
      <c r="S990" s="28"/>
      <c r="T990" s="2"/>
      <c r="U990" s="2"/>
      <c r="V990" s="2"/>
      <c r="W990" s="2"/>
      <c r="X990" s="2"/>
      <c r="Y990" s="2"/>
      <c r="Z990" s="2"/>
    </row>
    <row r="991" ht="15.75" customHeight="1">
      <c r="A991" s="28" t="s">
        <v>24</v>
      </c>
      <c r="B991" s="28">
        <v>9.345876317232834</v>
      </c>
      <c r="C991" s="28">
        <v>77.66530757036888</v>
      </c>
      <c r="D991" s="28">
        <v>14.533333333333331</v>
      </c>
      <c r="E991" s="28">
        <v>59.466666666666676</v>
      </c>
      <c r="F991" s="30">
        <v>45292.0</v>
      </c>
      <c r="G991" s="28">
        <v>152.66666666666669</v>
      </c>
      <c r="H991" s="28">
        <v>90.83333333333331</v>
      </c>
      <c r="I991" s="28">
        <v>170.7</v>
      </c>
      <c r="J991" s="28">
        <v>84.20710241175391</v>
      </c>
      <c r="K991" s="28">
        <v>59.91600790513837</v>
      </c>
      <c r="L991" s="28">
        <f t="shared" si="3"/>
        <v>61.83333333</v>
      </c>
      <c r="M991" s="28">
        <f t="shared" si="6"/>
        <v>61.83333333</v>
      </c>
      <c r="N991" s="28">
        <f t="shared" si="4"/>
        <v>18.03333333</v>
      </c>
      <c r="O991" s="28">
        <f t="shared" si="2"/>
        <v>68.45956425</v>
      </c>
      <c r="P991" s="28">
        <f t="shared" si="1"/>
        <v>92.75065876</v>
      </c>
      <c r="Q991" s="28">
        <f t="shared" si="5"/>
        <v>11.81222707</v>
      </c>
      <c r="R991" s="28"/>
      <c r="S991" s="28"/>
      <c r="T991" s="2"/>
      <c r="U991" s="2"/>
      <c r="V991" s="2"/>
      <c r="W991" s="2"/>
      <c r="X991" s="2"/>
      <c r="Y991" s="2"/>
      <c r="Z991" s="2"/>
    </row>
    <row r="992" ht="15.75" customHeight="1">
      <c r="A992" s="28" t="s">
        <v>25</v>
      </c>
      <c r="B992" s="28">
        <v>11.3419553582534</v>
      </c>
      <c r="C992" s="28">
        <v>90.53576009626887</v>
      </c>
      <c r="D992" s="28">
        <v>22.362745098039213</v>
      </c>
      <c r="E992" s="28">
        <v>74.10784313725492</v>
      </c>
      <c r="F992" s="30">
        <v>45323.0</v>
      </c>
      <c r="G992" s="28">
        <v>105.0</v>
      </c>
      <c r="H992" s="28">
        <v>73.16666666666669</v>
      </c>
      <c r="I992" s="28">
        <v>76.89999999999998</v>
      </c>
      <c r="J992" s="28">
        <v>49.144971688227656</v>
      </c>
      <c r="K992" s="28">
        <v>45.962450592885375</v>
      </c>
      <c r="L992" s="28">
        <f t="shared" si="3"/>
        <v>31.83333333</v>
      </c>
      <c r="M992" s="28">
        <f t="shared" si="6"/>
        <v>31.83333333</v>
      </c>
      <c r="N992" s="28">
        <f t="shared" si="4"/>
        <v>28.1</v>
      </c>
      <c r="O992" s="28">
        <f t="shared" si="2"/>
        <v>55.85502831</v>
      </c>
      <c r="P992" s="28">
        <f t="shared" si="1"/>
        <v>59.03754941</v>
      </c>
      <c r="Q992" s="28">
        <f t="shared" si="5"/>
        <v>26.76190476</v>
      </c>
      <c r="R992" s="28"/>
      <c r="S992" s="28"/>
      <c r="T992" s="2"/>
      <c r="U992" s="2"/>
      <c r="V992" s="2"/>
      <c r="W992" s="2"/>
      <c r="X992" s="2"/>
      <c r="Y992" s="2"/>
      <c r="Z992" s="2"/>
    </row>
    <row r="993" ht="15.75" customHeight="1">
      <c r="A993" s="28" t="s">
        <v>26</v>
      </c>
      <c r="B993" s="28">
        <v>8.792428965208723</v>
      </c>
      <c r="C993" s="28">
        <v>73.1835842248793</v>
      </c>
      <c r="D993" s="28">
        <v>12.780000000000006</v>
      </c>
      <c r="E993" s="28">
        <v>55.470000000000006</v>
      </c>
      <c r="F993" s="30">
        <v>45352.0</v>
      </c>
      <c r="G993" s="28">
        <v>5.333333333333314</v>
      </c>
      <c r="H993" s="28">
        <v>19.5</v>
      </c>
      <c r="I993" s="28">
        <v>19.80000000000001</v>
      </c>
      <c r="J993" s="28">
        <v>2.2014801817593934</v>
      </c>
      <c r="K993" s="28">
        <v>2.991106719367565</v>
      </c>
      <c r="L993" s="28">
        <f t="shared" si="3"/>
        <v>14.16666667</v>
      </c>
      <c r="M993" s="28">
        <f t="shared" si="6"/>
        <v>14.16666667</v>
      </c>
      <c r="N993" s="28">
        <f t="shared" si="4"/>
        <v>14.46666667</v>
      </c>
      <c r="O993" s="28">
        <f t="shared" si="2"/>
        <v>3.131853152</v>
      </c>
      <c r="P993" s="28">
        <f t="shared" si="1"/>
        <v>2.342226614</v>
      </c>
      <c r="Q993" s="28">
        <f t="shared" si="5"/>
        <v>271.25</v>
      </c>
      <c r="R993" s="28"/>
      <c r="S993" s="28"/>
      <c r="T993" s="2"/>
      <c r="U993" s="2"/>
      <c r="V993" s="2"/>
      <c r="W993" s="2"/>
      <c r="X993" s="2"/>
      <c r="Y993" s="2"/>
      <c r="Z993" s="2"/>
    </row>
    <row r="994" ht="15.75" customHeight="1">
      <c r="A994" s="28" t="s">
        <v>27</v>
      </c>
      <c r="B994" s="28">
        <v>5.843272112506168</v>
      </c>
      <c r="C994" s="28">
        <v>49.98534075986837</v>
      </c>
      <c r="D994" s="28">
        <v>13.19142843783671</v>
      </c>
      <c r="E994" s="28">
        <v>37.43963928931657</v>
      </c>
      <c r="F994" s="30">
        <v>45383.0</v>
      </c>
      <c r="G994" s="28">
        <v>8.333333333333314</v>
      </c>
      <c r="H994" s="28">
        <v>53.166666666666686</v>
      </c>
      <c r="I994" s="28">
        <v>2.8999999999999773</v>
      </c>
      <c r="J994" s="28">
        <v>33.041036127231564</v>
      </c>
      <c r="K994" s="28">
        <v>34.05533596837944</v>
      </c>
      <c r="L994" s="28">
        <f t="shared" si="3"/>
        <v>44.83333333</v>
      </c>
      <c r="M994" s="28">
        <f t="shared" si="6"/>
        <v>44.83333333</v>
      </c>
      <c r="N994" s="28">
        <f t="shared" si="4"/>
        <v>5.433333333</v>
      </c>
      <c r="O994" s="28">
        <f t="shared" si="2"/>
        <v>24.70770279</v>
      </c>
      <c r="P994" s="28">
        <f t="shared" si="1"/>
        <v>25.72200264</v>
      </c>
      <c r="Q994" s="28">
        <f t="shared" si="5"/>
        <v>65.2</v>
      </c>
      <c r="R994" s="28"/>
      <c r="S994" s="28"/>
      <c r="T994" s="2"/>
      <c r="U994" s="2"/>
      <c r="V994" s="2"/>
      <c r="W994" s="2"/>
      <c r="X994" s="2"/>
      <c r="Y994" s="2"/>
      <c r="Z994" s="2"/>
    </row>
    <row r="995" ht="15.75" customHeight="1">
      <c r="A995" s="28" t="s">
        <v>28</v>
      </c>
      <c r="B995" s="28">
        <v>7.61617876902548</v>
      </c>
      <c r="C995" s="28">
        <v>65.7237938145715</v>
      </c>
      <c r="D995" s="28">
        <v>1.9771623951585396E-13</v>
      </c>
      <c r="E995" s="28">
        <v>48.02251245918537</v>
      </c>
      <c r="F995" s="30">
        <v>45413.0</v>
      </c>
      <c r="G995" s="28">
        <v>8.666666666666686</v>
      </c>
      <c r="H995" s="28">
        <v>31.666666666666686</v>
      </c>
      <c r="I995" s="28">
        <v>7.100000000000023</v>
      </c>
      <c r="J995" s="28">
        <v>11.928725289062072</v>
      </c>
      <c r="K995" s="28">
        <v>25.1017786561265</v>
      </c>
      <c r="L995" s="28">
        <f t="shared" si="3"/>
        <v>23</v>
      </c>
      <c r="M995" s="28">
        <f t="shared" si="6"/>
        <v>23</v>
      </c>
      <c r="N995" s="28">
        <f t="shared" si="4"/>
        <v>1.566666667</v>
      </c>
      <c r="O995" s="28">
        <f t="shared" si="2"/>
        <v>3.262058622</v>
      </c>
      <c r="P995" s="28">
        <f t="shared" si="1"/>
        <v>16.43511199</v>
      </c>
      <c r="Q995" s="28">
        <f t="shared" si="5"/>
        <v>18.07692308</v>
      </c>
      <c r="R995" s="28"/>
      <c r="S995" s="28"/>
      <c r="T995" s="2"/>
      <c r="U995" s="2"/>
      <c r="V995" s="2"/>
      <c r="W995" s="2"/>
      <c r="X995" s="2"/>
      <c r="Y995" s="2"/>
      <c r="Z995" s="2"/>
    </row>
    <row r="996" ht="15.75" customHeight="1">
      <c r="A996" s="28" t="s">
        <v>31</v>
      </c>
      <c r="B996" s="28">
        <v>14.613264881935834</v>
      </c>
      <c r="C996" s="28">
        <v>33.31416115307923</v>
      </c>
      <c r="D996" s="28">
        <v>6.466666666666669</v>
      </c>
      <c r="E996" s="28">
        <v>24.9</v>
      </c>
      <c r="F996" s="30">
        <v>45444.0</v>
      </c>
      <c r="G996" s="28">
        <v>25.333333333333314</v>
      </c>
      <c r="H996" s="28">
        <v>36.833333333333314</v>
      </c>
      <c r="I996" s="28">
        <v>23.100000000000023</v>
      </c>
      <c r="J996" s="28">
        <v>27.950107702343416</v>
      </c>
      <c r="K996" s="28">
        <v>52.1482213438735</v>
      </c>
      <c r="L996" s="28">
        <f t="shared" si="3"/>
        <v>11.5</v>
      </c>
      <c r="M996" s="28">
        <f t="shared" si="6"/>
        <v>11.5</v>
      </c>
      <c r="N996" s="28">
        <f t="shared" si="4"/>
        <v>2.233333333</v>
      </c>
      <c r="O996" s="28">
        <f t="shared" si="2"/>
        <v>2.616774369</v>
      </c>
      <c r="P996" s="28">
        <f t="shared" si="1"/>
        <v>26.81488801</v>
      </c>
      <c r="Q996" s="28">
        <f t="shared" si="5"/>
        <v>8.815789474</v>
      </c>
      <c r="R996" s="28"/>
      <c r="S996" s="28"/>
      <c r="T996" s="2"/>
      <c r="U996" s="2"/>
      <c r="V996" s="2"/>
      <c r="W996" s="2"/>
      <c r="X996" s="2"/>
      <c r="Y996" s="2"/>
      <c r="Z996" s="2"/>
    </row>
    <row r="997" ht="15.75" customHeight="1">
      <c r="A997" s="28" t="s">
        <v>32</v>
      </c>
      <c r="B997" s="28">
        <v>16.74140652643359</v>
      </c>
      <c r="C997" s="28">
        <v>37.37169772501208</v>
      </c>
      <c r="D997" s="28">
        <v>9.274509803921568</v>
      </c>
      <c r="E997" s="28">
        <v>30.09803921568627</v>
      </c>
      <c r="F997" s="30">
        <v>45474.0</v>
      </c>
      <c r="G997" s="28">
        <v>24.0</v>
      </c>
      <c r="H997" s="28">
        <v>19.333333333333314</v>
      </c>
      <c r="I997" s="28">
        <v>21.899999999999977</v>
      </c>
      <c r="J997" s="28">
        <v>30.76507539164038</v>
      </c>
      <c r="K997" s="28">
        <v>69.19466403162056</v>
      </c>
      <c r="L997" s="28">
        <f t="shared" si="3"/>
        <v>4.666666667</v>
      </c>
      <c r="M997" s="28">
        <f t="shared" si="6"/>
        <v>4.666666667</v>
      </c>
      <c r="N997" s="28">
        <f t="shared" si="4"/>
        <v>2.1</v>
      </c>
      <c r="O997" s="28">
        <f t="shared" si="2"/>
        <v>6.765075392</v>
      </c>
      <c r="P997" s="28">
        <f t="shared" si="1"/>
        <v>45.19466403</v>
      </c>
      <c r="Q997" s="28">
        <f t="shared" si="5"/>
        <v>8.75</v>
      </c>
      <c r="R997" s="28"/>
      <c r="S997" s="28"/>
      <c r="T997" s="2"/>
      <c r="U997" s="2"/>
      <c r="V997" s="2"/>
      <c r="W997" s="2"/>
      <c r="X997" s="2"/>
      <c r="Y997" s="2"/>
      <c r="Z997" s="2"/>
    </row>
    <row r="998" ht="15.75" customHeight="1">
      <c r="A998" s="28" t="s">
        <v>33</v>
      </c>
      <c r="B998" s="28">
        <v>13.495788402154648</v>
      </c>
      <c r="C998" s="28">
        <v>31.605110346271534</v>
      </c>
      <c r="D998" s="28">
        <v>5.610000000000002</v>
      </c>
      <c r="E998" s="28">
        <v>22.779999999999998</v>
      </c>
      <c r="F998" s="30">
        <v>45505.0</v>
      </c>
      <c r="G998" s="28">
        <v>9.666666666666686</v>
      </c>
      <c r="H998" s="28">
        <v>4.166666666666686</v>
      </c>
      <c r="I998" s="28">
        <v>14.899999999999977</v>
      </c>
      <c r="J998" s="28">
        <v>5.764447225851768</v>
      </c>
      <c r="K998" s="28">
        <v>47.24110671936762</v>
      </c>
      <c r="L998" s="28">
        <f t="shared" si="3"/>
        <v>5.5</v>
      </c>
      <c r="M998" s="28">
        <f t="shared" si="6"/>
        <v>5.5</v>
      </c>
      <c r="N998" s="28">
        <f t="shared" si="4"/>
        <v>5.233333333</v>
      </c>
      <c r="O998" s="28">
        <f t="shared" si="2"/>
        <v>3.902219441</v>
      </c>
      <c r="P998" s="28">
        <f t="shared" si="1"/>
        <v>37.57444005</v>
      </c>
      <c r="Q998" s="28">
        <f t="shared" si="5"/>
        <v>54.13793103</v>
      </c>
      <c r="R998" s="28"/>
      <c r="S998" s="28"/>
      <c r="T998" s="2"/>
      <c r="U998" s="2"/>
      <c r="V998" s="2"/>
      <c r="W998" s="2"/>
      <c r="X998" s="2"/>
      <c r="Y998" s="2"/>
      <c r="Z998" s="2"/>
    </row>
    <row r="999" ht="15.75" customHeight="1">
      <c r="A999" s="28" t="s">
        <v>34</v>
      </c>
      <c r="B999" s="28">
        <v>9.216009515663986</v>
      </c>
      <c r="C999" s="28">
        <v>21.502685643150585</v>
      </c>
      <c r="D999" s="28">
        <v>38.69565217391305</v>
      </c>
      <c r="E999" s="28">
        <v>15.936402285080874</v>
      </c>
      <c r="F999" s="30">
        <v>45536.0</v>
      </c>
      <c r="G999" s="28">
        <v>63.0</v>
      </c>
      <c r="H999" s="28">
        <v>50.333333333333314</v>
      </c>
      <c r="I999" s="28">
        <v>60.39999999999998</v>
      </c>
      <c r="J999" s="28">
        <v>46.7351130580962</v>
      </c>
      <c r="K999" s="28">
        <v>1.287549407114625</v>
      </c>
      <c r="L999" s="28">
        <f t="shared" si="3"/>
        <v>12.66666667</v>
      </c>
      <c r="M999" s="28">
        <f t="shared" si="6"/>
        <v>12.66666667</v>
      </c>
      <c r="N999" s="28">
        <f t="shared" si="4"/>
        <v>2.6</v>
      </c>
      <c r="O999" s="28">
        <f t="shared" si="2"/>
        <v>16.26488694</v>
      </c>
      <c r="P999" s="28">
        <f t="shared" si="1"/>
        <v>61.71245059</v>
      </c>
      <c r="Q999" s="28">
        <f t="shared" si="5"/>
        <v>4.126984127</v>
      </c>
      <c r="R999" s="28"/>
      <c r="S999" s="28"/>
      <c r="T999" s="2"/>
      <c r="U999" s="2"/>
      <c r="V999" s="2"/>
      <c r="W999" s="2"/>
      <c r="X999" s="2"/>
      <c r="Y999" s="2"/>
      <c r="Z999" s="2"/>
    </row>
    <row r="1000" ht="15.75" customHeight="1">
      <c r="A1000" s="28" t="s">
        <v>35</v>
      </c>
      <c r="B1000" s="28">
        <v>12.005089226327065</v>
      </c>
      <c r="C1000" s="28">
        <v>27.729141894237447</v>
      </c>
      <c r="D1000" s="28">
        <v>6.178632484870436E-15</v>
      </c>
      <c r="E1000" s="28">
        <v>20.40109984533425</v>
      </c>
      <c r="F1000" s="30">
        <v>45566.0</v>
      </c>
      <c r="G1000" s="28">
        <v>66.0</v>
      </c>
      <c r="H1000" s="28">
        <v>71.0</v>
      </c>
      <c r="I1000" s="28">
        <v>54.200000000000045</v>
      </c>
      <c r="J1000" s="28">
        <v>48.81457914066732</v>
      </c>
      <c r="K1000" s="28">
        <v>18.666007905138315</v>
      </c>
      <c r="L1000" s="28">
        <f t="shared" si="3"/>
        <v>5</v>
      </c>
      <c r="M1000" s="28">
        <f t="shared" si="6"/>
        <v>5</v>
      </c>
      <c r="N1000" s="28">
        <f t="shared" si="4"/>
        <v>11.8</v>
      </c>
      <c r="O1000" s="28">
        <f t="shared" si="2"/>
        <v>17.18542086</v>
      </c>
      <c r="P1000" s="28">
        <f t="shared" si="1"/>
        <v>47.33399209</v>
      </c>
      <c r="Q1000" s="28">
        <f t="shared" si="5"/>
        <v>17.87878788</v>
      </c>
      <c r="R1000" s="28"/>
      <c r="S1000" s="28"/>
      <c r="T1000" s="2"/>
      <c r="U1000" s="2"/>
      <c r="V1000" s="2"/>
      <c r="W1000" s="2"/>
      <c r="X1000" s="2"/>
      <c r="Y1000" s="2"/>
      <c r="Z1000" s="2"/>
    </row>
    <row r="1001" ht="15.75" customHeight="1">
      <c r="A1001" s="28"/>
      <c r="B1001" s="28"/>
      <c r="C1001" s="28"/>
      <c r="D1001" s="28"/>
      <c r="E1001" s="28"/>
      <c r="F1001" s="30">
        <v>45597.0</v>
      </c>
      <c r="G1001" s="28">
        <v>106.66666666666669</v>
      </c>
      <c r="H1001" s="28">
        <v>132.16666666666669</v>
      </c>
      <c r="I1001" s="28">
        <v>96.0</v>
      </c>
      <c r="J1001" s="28">
        <v>99.9702053984671</v>
      </c>
      <c r="K1001" s="28">
        <v>88.61956521739131</v>
      </c>
      <c r="L1001" s="28">
        <f t="shared" si="3"/>
        <v>25.5</v>
      </c>
      <c r="M1001" s="28">
        <f t="shared" si="6"/>
        <v>25.5</v>
      </c>
      <c r="N1001" s="28">
        <f t="shared" si="4"/>
        <v>10.66666667</v>
      </c>
      <c r="O1001" s="28">
        <f t="shared" si="2"/>
        <v>6.696461268</v>
      </c>
      <c r="P1001" s="28">
        <f t="shared" si="1"/>
        <v>18.04710145</v>
      </c>
      <c r="Q1001" s="28">
        <f t="shared" si="5"/>
        <v>10</v>
      </c>
      <c r="R1001" s="28"/>
      <c r="S1001" s="28"/>
      <c r="T1001" s="14"/>
      <c r="U1001" s="14"/>
      <c r="V1001" s="14"/>
      <c r="W1001" s="14"/>
      <c r="X1001" s="14"/>
      <c r="Y1001" s="14"/>
      <c r="Z1001" s="14"/>
    </row>
    <row r="1002" ht="15.75" customHeight="1">
      <c r="A1002" s="28"/>
      <c r="B1002" s="28"/>
      <c r="C1002" s="28"/>
      <c r="D1002" s="28"/>
      <c r="E1002" s="28"/>
      <c r="F1002" s="30">
        <v>45627.0</v>
      </c>
      <c r="G1002" s="28">
        <v>113.33333333333331</v>
      </c>
      <c r="H1002" s="28">
        <v>165.16666666666669</v>
      </c>
      <c r="I1002" s="28">
        <v>97.79999999999995</v>
      </c>
      <c r="J1002" s="28">
        <v>120.37914377892707</v>
      </c>
      <c r="K1002" s="28">
        <v>140.57312252964425</v>
      </c>
      <c r="L1002" s="28">
        <f t="shared" si="3"/>
        <v>51.83333333</v>
      </c>
      <c r="M1002" s="28">
        <f t="shared" si="6"/>
        <v>51.83333333</v>
      </c>
      <c r="N1002" s="28">
        <f t="shared" si="4"/>
        <v>15.53333333</v>
      </c>
      <c r="O1002" s="28">
        <f t="shared" si="2"/>
        <v>7.045810446</v>
      </c>
      <c r="P1002" s="28">
        <f t="shared" si="1"/>
        <v>27.2397892</v>
      </c>
      <c r="Q1002" s="28">
        <f t="shared" si="5"/>
        <v>13.70588235</v>
      </c>
      <c r="R1002" s="28"/>
      <c r="S1002" s="28"/>
      <c r="T1002" s="14"/>
      <c r="U1002" s="14"/>
      <c r="V1002" s="14"/>
      <c r="W1002" s="14"/>
      <c r="X1002" s="14"/>
      <c r="Y1002" s="14"/>
      <c r="Z1002" s="14"/>
    </row>
  </sheetData>
  <printOptions/>
  <pageMargins bottom="0.75" footer="0.0" header="0.0" left="0.7" right="0.7" top="0.75"/>
  <pageSetup orientation="landscape"/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0"/>
  <cols>
    <col customWidth="1" min="1" max="6" width="12.63"/>
  </cols>
  <sheetData>
    <row r="1" ht="15.75" customHeight="1">
      <c r="A1" s="31"/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15.75" customHeight="1">
      <c r="A2" s="31"/>
      <c r="B2" s="31"/>
      <c r="C2" s="32" t="s">
        <v>62</v>
      </c>
      <c r="D2" s="33"/>
      <c r="E2" s="32" t="s">
        <v>63</v>
      </c>
      <c r="F2" s="33"/>
      <c r="G2" s="32" t="s">
        <v>64</v>
      </c>
      <c r="H2" s="33"/>
      <c r="I2" s="32" t="s">
        <v>65</v>
      </c>
      <c r="J2" s="33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ht="15.75" customHeight="1">
      <c r="A3" s="31"/>
      <c r="B3" s="31"/>
      <c r="C3" s="34" t="s">
        <v>66</v>
      </c>
      <c r="D3" s="35"/>
      <c r="E3" s="36">
        <v>5.61</v>
      </c>
      <c r="F3" s="35"/>
      <c r="G3" s="37">
        <f>100-MIN(Accuracy_Metrics!B32:P32)</f>
        <v>94.15672789</v>
      </c>
      <c r="H3" s="35"/>
      <c r="I3" s="36">
        <v>3.0</v>
      </c>
      <c r="J3" s="35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ht="15.75" customHeight="1">
      <c r="A4" s="31"/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ht="15.75" customHeight="1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ht="15.75" customHeight="1">
      <c r="A6" s="3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ht="15.75" customHeight="1">
      <c r="A8" s="31"/>
      <c r="B8" s="31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ht="15.75" customHeight="1">
      <c r="A9" s="31"/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ht="15.75" customHeight="1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ht="15.75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ht="15.75" customHeight="1">
      <c r="A12" s="31"/>
      <c r="B12" s="31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ht="15.75" customHeight="1">
      <c r="A13" s="31"/>
      <c r="B13" s="31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ht="15.75" customHeight="1">
      <c r="A14" s="31"/>
      <c r="B14" s="31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ht="15.75" customHeight="1">
      <c r="A15" s="31"/>
      <c r="B15" s="31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ht="15.75" customHeight="1">
      <c r="A16" s="31"/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ht="15.75" customHeight="1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ht="15.75" customHeight="1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ht="15.75" customHeight="1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ht="15.75" customHeight="1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ht="15.75" customHeight="1">
      <c r="A21" s="31"/>
      <c r="B21" s="31"/>
      <c r="C21" s="31"/>
      <c r="D21" s="31"/>
      <c r="E21" s="31"/>
      <c r="F21" s="31"/>
      <c r="G21" s="31"/>
      <c r="H21" s="31"/>
      <c r="I21" s="31"/>
      <c r="J21" s="14"/>
      <c r="K21" s="31"/>
      <c r="L21" s="31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ht="15.75" customHeight="1">
      <c r="A22" s="31"/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ht="15.75" customHeight="1">
      <c r="A23" s="3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ht="15.75" customHeight="1">
      <c r="A24" s="31"/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ht="15.75" customHeight="1">
      <c r="A25" s="31"/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ht="15.75" customHeight="1">
      <c r="A26" s="3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ht="15.75" customHeight="1">
      <c r="A27" s="3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ht="15.75" customHeight="1">
      <c r="A28" s="3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1"/>
      <c r="U29" s="31"/>
      <c r="V29" s="31"/>
      <c r="W29" s="31"/>
      <c r="X29" s="31"/>
      <c r="Y29" s="31"/>
      <c r="Z29" s="31"/>
    </row>
    <row r="30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</row>
    <row r="31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  <c r="Y31" s="31"/>
      <c r="Z31" s="31"/>
    </row>
    <row r="32" ht="15.75" customHeight="1">
      <c r="A32" s="3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</row>
    <row r="33" ht="15.75" customHeight="1">
      <c r="A33" s="3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ht="15.75" customHeight="1">
      <c r="A35" s="31"/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ht="15.75" customHeight="1">
      <c r="A36" s="31"/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ht="15.75" customHeight="1">
      <c r="A37" s="31"/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ht="15.75" customHeight="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ht="15.75" customHeight="1">
      <c r="A39" s="31"/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ht="15.75" customHeight="1">
      <c r="A40" s="31"/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ht="15.75" customHeight="1">
      <c r="A41" s="31"/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ht="15.75" customHeight="1">
      <c r="A42" s="3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ht="15.75" customHeight="1">
      <c r="A43" s="31"/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ht="15.75" customHeight="1">
      <c r="A44" s="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ht="15.75" customHeight="1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ht="15.75" customHeight="1">
      <c r="A46" s="31"/>
      <c r="B46" s="31"/>
      <c r="C46" s="31"/>
      <c r="D46" s="31"/>
      <c r="E46" s="31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ht="15.75" customHeight="1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ht="15.75" customHeight="1">
      <c r="A48" s="31"/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ht="15.75" customHeight="1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ht="15.75" customHeight="1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ht="15.75" customHeight="1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ht="15.75" customHeight="1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ht="15.75" customHeight="1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ht="15.75" customHeight="1">
      <c r="A54" s="31"/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ht="15.75" customHeight="1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ht="15.75" customHeight="1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ht="15.75" customHeight="1">
      <c r="A57" s="31"/>
      <c r="B57" s="31"/>
      <c r="C57" s="31"/>
      <c r="D57" s="31"/>
      <c r="E57" s="31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31"/>
      <c r="Q57" s="31"/>
      <c r="R57" s="31"/>
      <c r="S57" s="31"/>
      <c r="T57" s="31"/>
      <c r="U57" s="31"/>
      <c r="V57" s="31"/>
      <c r="W57" s="31"/>
      <c r="X57" s="31"/>
      <c r="Y57" s="31"/>
      <c r="Z57" s="31"/>
    </row>
    <row r="58" ht="15.75" customHeight="1">
      <c r="A58" s="31"/>
      <c r="B58" s="31"/>
      <c r="C58" s="31"/>
      <c r="D58" s="31"/>
      <c r="E58" s="31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31"/>
      <c r="Q58" s="31"/>
      <c r="R58" s="31"/>
      <c r="S58" s="31"/>
      <c r="T58" s="31"/>
      <c r="U58" s="31"/>
      <c r="V58" s="31"/>
      <c r="W58" s="31"/>
      <c r="X58" s="31"/>
      <c r="Y58" s="31"/>
      <c r="Z58" s="31"/>
    </row>
    <row r="59" ht="15.75" customHeight="1">
      <c r="A59" s="31"/>
      <c r="B59" s="31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31"/>
      <c r="Z59" s="31"/>
    </row>
    <row r="60" ht="15.75" customHeight="1">
      <c r="A60" s="31"/>
      <c r="B60" s="31"/>
      <c r="C60" s="31"/>
      <c r="D60" s="31"/>
      <c r="E60" s="31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31"/>
      <c r="Q60" s="31"/>
      <c r="R60" s="31"/>
      <c r="S60" s="31"/>
      <c r="T60" s="31"/>
      <c r="U60" s="31"/>
      <c r="V60" s="31"/>
      <c r="W60" s="31"/>
      <c r="X60" s="31"/>
      <c r="Y60" s="31"/>
      <c r="Z60" s="31"/>
    </row>
    <row r="61" ht="15.75" customHeight="1">
      <c r="A61" s="31"/>
      <c r="B61" s="31"/>
      <c r="C61" s="31"/>
      <c r="D61" s="31"/>
      <c r="E61" s="31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  <c r="Y61" s="31"/>
      <c r="Z61" s="31"/>
    </row>
    <row r="62" ht="15.75" customHeight="1">
      <c r="A62" s="31"/>
      <c r="B62" s="31"/>
      <c r="C62" s="31"/>
      <c r="D62" s="31"/>
      <c r="E62" s="31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31"/>
      <c r="S62" s="31"/>
      <c r="T62" s="31"/>
      <c r="U62" s="31"/>
      <c r="V62" s="31"/>
      <c r="W62" s="31"/>
      <c r="X62" s="31"/>
      <c r="Y62" s="31"/>
      <c r="Z62" s="31"/>
    </row>
    <row r="63" ht="15.75" customHeight="1">
      <c r="A63" s="31"/>
      <c r="B63" s="31"/>
      <c r="C63" s="31"/>
      <c r="D63" s="31"/>
      <c r="E63" s="31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 ht="15.75" customHeight="1">
      <c r="A64" s="31"/>
      <c r="B64" s="31"/>
      <c r="C64" s="31"/>
      <c r="D64" s="31"/>
      <c r="E64" s="31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 ht="15.75" customHeight="1">
      <c r="A65" s="31"/>
      <c r="B65" s="31"/>
      <c r="C65" s="31"/>
      <c r="D65" s="31"/>
      <c r="E65" s="31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31"/>
      <c r="Q65" s="31"/>
      <c r="R65" s="31"/>
      <c r="S65" s="31"/>
      <c r="T65" s="31"/>
      <c r="U65" s="31"/>
      <c r="V65" s="31"/>
      <c r="W65" s="31"/>
      <c r="X65" s="31"/>
      <c r="Y65" s="31"/>
      <c r="Z65" s="31"/>
    </row>
    <row r="66" ht="15.75" customHeight="1">
      <c r="A66" s="31"/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  <c r="Y66" s="31"/>
      <c r="Z66" s="31"/>
    </row>
    <row r="67" ht="15.75" customHeight="1">
      <c r="A67" s="31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 ht="15.75" customHeight="1">
      <c r="A68" s="31"/>
      <c r="B68" s="31"/>
      <c r="C68" s="31"/>
      <c r="D68" s="31"/>
      <c r="E68" s="31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 ht="15.7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 ht="15.7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31"/>
      <c r="Q70" s="31"/>
      <c r="R70" s="31"/>
      <c r="S70" s="31"/>
      <c r="T70" s="31"/>
      <c r="U70" s="31"/>
      <c r="V70" s="31"/>
      <c r="W70" s="31"/>
      <c r="X70" s="31"/>
      <c r="Y70" s="31"/>
      <c r="Z70" s="31"/>
    </row>
    <row r="71" ht="15.7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31"/>
      <c r="X71" s="31"/>
      <c r="Y71" s="31"/>
      <c r="Z71" s="31"/>
    </row>
    <row r="72" ht="15.7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31"/>
      <c r="N72" s="31"/>
      <c r="O72" s="31"/>
      <c r="P72" s="31"/>
      <c r="Q72" s="31"/>
      <c r="R72" s="31"/>
      <c r="S72" s="31"/>
      <c r="T72" s="31"/>
      <c r="U72" s="31"/>
      <c r="V72" s="31"/>
      <c r="W72" s="31"/>
      <c r="X72" s="31"/>
      <c r="Y72" s="31"/>
      <c r="Z72" s="31"/>
    </row>
    <row r="73" ht="15.7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31"/>
      <c r="N73" s="31"/>
      <c r="O73" s="31"/>
      <c r="P73" s="31"/>
      <c r="Q73" s="31"/>
      <c r="R73" s="31"/>
      <c r="S73" s="31"/>
      <c r="T73" s="31"/>
      <c r="U73" s="31"/>
      <c r="V73" s="31"/>
      <c r="W73" s="31"/>
      <c r="X73" s="31"/>
      <c r="Y73" s="31"/>
      <c r="Z73" s="31"/>
    </row>
    <row r="74" ht="15.7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31"/>
      <c r="Z74" s="31"/>
    </row>
    <row r="75" ht="15.7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</row>
    <row r="76" ht="15.7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31"/>
      <c r="V76" s="31"/>
      <c r="W76" s="31"/>
      <c r="X76" s="31"/>
      <c r="Y76" s="31"/>
      <c r="Z76" s="31"/>
    </row>
    <row r="77" ht="15.7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  <c r="Y77" s="31"/>
      <c r="Z77" s="31"/>
    </row>
    <row r="78" ht="15.7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  <c r="Y78" s="31"/>
      <c r="Z78" s="31"/>
    </row>
    <row r="79" ht="15.7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  <c r="Y79" s="31"/>
      <c r="Z79" s="31"/>
    </row>
    <row r="80" ht="15.7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31"/>
      <c r="V80" s="31"/>
      <c r="W80" s="31"/>
      <c r="X80" s="31"/>
      <c r="Y80" s="31"/>
      <c r="Z80" s="31"/>
    </row>
    <row r="81" ht="15.7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31"/>
      <c r="V81" s="31"/>
      <c r="W81" s="31"/>
      <c r="X81" s="31"/>
      <c r="Y81" s="31"/>
      <c r="Z81" s="31"/>
    </row>
    <row r="82" ht="15.7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31"/>
      <c r="V83" s="31"/>
      <c r="W83" s="31"/>
      <c r="X83" s="31"/>
      <c r="Y83" s="31"/>
      <c r="Z83" s="31"/>
    </row>
    <row r="84" ht="15.7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31"/>
      <c r="V84" s="31"/>
      <c r="W84" s="31"/>
      <c r="X84" s="31"/>
      <c r="Y84" s="31"/>
      <c r="Z84" s="31"/>
    </row>
    <row r="85" ht="15.7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31"/>
      <c r="V85" s="31"/>
      <c r="W85" s="31"/>
      <c r="X85" s="31"/>
      <c r="Y85" s="31"/>
      <c r="Z85" s="31"/>
    </row>
    <row r="86" ht="15.7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 ht="15.7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 ht="15.7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 ht="15.7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 ht="15.7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</row>
    <row r="93" ht="15.7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31"/>
      <c r="V93" s="31"/>
      <c r="W93" s="31"/>
      <c r="X93" s="31"/>
      <c r="Y93" s="31"/>
      <c r="Z93" s="31"/>
    </row>
    <row r="94" ht="15.7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31"/>
      <c r="V94" s="31"/>
      <c r="W94" s="31"/>
      <c r="X94" s="31"/>
      <c r="Y94" s="31"/>
      <c r="Z94" s="31"/>
    </row>
    <row r="95" ht="15.7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31"/>
      <c r="V95" s="31"/>
      <c r="W95" s="31"/>
      <c r="X95" s="31"/>
      <c r="Y95" s="31"/>
      <c r="Z95" s="31"/>
    </row>
    <row r="96" ht="15.7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31"/>
      <c r="V96" s="31"/>
      <c r="W96" s="31"/>
      <c r="X96" s="31"/>
      <c r="Y96" s="31"/>
      <c r="Z96" s="31"/>
    </row>
    <row r="97" ht="15.7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</row>
    <row r="98" ht="15.7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</row>
    <row r="99" ht="15.7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</row>
    <row r="100" ht="15.7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</row>
    <row r="101" ht="15.7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</row>
    <row r="102" ht="15.7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</row>
    <row r="103" ht="15.7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</row>
    <row r="104" ht="15.7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</row>
    <row r="105" ht="15.7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</row>
    <row r="106" ht="15.7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</row>
    <row r="107" ht="15.7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</row>
    <row r="108" ht="15.7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</row>
    <row r="109" ht="15.7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</row>
    <row r="110" ht="15.7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</row>
    <row r="111" ht="15.7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</row>
    <row r="112" ht="15.7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</row>
    <row r="113" ht="15.7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</row>
    <row r="114" ht="15.7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</row>
    <row r="115" ht="15.7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</row>
    <row r="116" ht="15.7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</row>
    <row r="117" ht="15.7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</row>
    <row r="118" ht="15.7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</row>
    <row r="119" ht="15.7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</row>
    <row r="120" ht="15.7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</row>
    <row r="121" ht="15.7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</row>
    <row r="122" ht="15.7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</row>
    <row r="123" ht="15.7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</row>
    <row r="124" ht="15.7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</row>
    <row r="125" ht="15.7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</row>
    <row r="126" ht="15.7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</row>
    <row r="127" ht="15.7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</row>
    <row r="128" ht="15.7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</row>
    <row r="129" ht="15.7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</row>
    <row r="130" ht="15.7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</row>
    <row r="131" ht="15.7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</row>
    <row r="132" ht="15.7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</row>
    <row r="133" ht="15.7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</row>
    <row r="134" ht="15.7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</row>
    <row r="135" ht="15.7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</row>
    <row r="136" ht="15.7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</row>
    <row r="137" ht="15.7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</row>
    <row r="138" ht="15.7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</row>
    <row r="139" ht="15.7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</row>
    <row r="140" ht="15.7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</row>
    <row r="141" ht="15.7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</row>
    <row r="142" ht="15.7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</row>
    <row r="143" ht="15.7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</row>
    <row r="144" ht="15.7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</row>
    <row r="145" ht="15.7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</row>
    <row r="146" ht="15.7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</row>
    <row r="147" ht="15.7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</row>
    <row r="148" ht="15.7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</row>
    <row r="149" ht="15.7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</row>
    <row r="150" ht="15.7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</row>
    <row r="151" ht="15.7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</row>
    <row r="152" ht="15.7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</row>
    <row r="153" ht="15.7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</row>
    <row r="154" ht="15.7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</row>
    <row r="155" ht="15.7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</row>
    <row r="156" ht="15.7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</row>
    <row r="157" ht="15.7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</row>
    <row r="158" ht="15.7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</row>
    <row r="159" ht="15.7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</row>
    <row r="160" ht="15.7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</row>
    <row r="161" ht="15.7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</row>
    <row r="162" ht="15.7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</row>
    <row r="163" ht="15.7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</row>
    <row r="164" ht="15.7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</row>
    <row r="165" ht="15.7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</row>
    <row r="166" ht="15.7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</row>
    <row r="167" ht="15.7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</row>
    <row r="168" ht="15.7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</row>
    <row r="169" ht="15.7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</row>
    <row r="170" ht="15.7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</row>
    <row r="171" ht="15.7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</row>
    <row r="172" ht="15.7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</row>
    <row r="173" ht="15.7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</row>
    <row r="174" ht="15.7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</row>
    <row r="175" ht="15.7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</row>
    <row r="176" ht="15.7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</row>
    <row r="177" ht="15.7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</row>
    <row r="178" ht="15.7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</row>
    <row r="179" ht="15.7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</row>
    <row r="180" ht="15.7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</row>
    <row r="181" ht="15.7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</row>
    <row r="182" ht="15.7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</row>
    <row r="183" ht="15.7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</row>
    <row r="184" ht="15.7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</row>
    <row r="185" ht="15.7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</row>
    <row r="186" ht="15.7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</row>
    <row r="187" ht="15.7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</row>
    <row r="188" ht="15.7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</row>
    <row r="189" ht="15.7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</row>
    <row r="190" ht="15.7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</row>
    <row r="191" ht="15.7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</row>
    <row r="192" ht="15.7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</row>
    <row r="193" ht="15.7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</row>
    <row r="194" ht="15.7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</row>
    <row r="195" ht="15.7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</row>
    <row r="196" ht="15.7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</row>
    <row r="197" ht="15.7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</row>
    <row r="198" ht="15.7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</row>
    <row r="199" ht="15.7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</row>
    <row r="200" ht="15.7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</row>
    <row r="201" ht="15.7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</row>
    <row r="202" ht="15.7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</row>
    <row r="203" ht="15.7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</row>
    <row r="204" ht="15.7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</row>
    <row r="205" ht="15.7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</row>
    <row r="206" ht="15.7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</row>
    <row r="207" ht="15.7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</row>
    <row r="208" ht="15.7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</row>
    <row r="209" ht="15.7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</row>
    <row r="210" ht="15.7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</row>
    <row r="211" ht="15.7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</row>
    <row r="212" ht="15.7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</row>
    <row r="213" ht="15.7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</row>
    <row r="214" ht="15.7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</row>
    <row r="215" ht="15.7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</row>
    <row r="216" ht="15.7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</row>
    <row r="217" ht="15.7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</row>
    <row r="218" ht="15.7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</row>
    <row r="219" ht="15.7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</row>
    <row r="220" ht="15.7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  <row r="1001" ht="15.75" customHeight="1">
      <c r="A1001" s="31"/>
      <c r="B1001" s="31"/>
      <c r="C1001" s="31"/>
      <c r="D1001" s="31"/>
      <c r="E1001" s="31"/>
      <c r="F1001" s="31"/>
      <c r="G1001" s="31"/>
      <c r="H1001" s="31"/>
      <c r="I1001" s="31"/>
      <c r="J1001" s="31"/>
      <c r="K1001" s="31"/>
      <c r="L1001" s="31"/>
      <c r="M1001" s="31"/>
      <c r="N1001" s="31"/>
      <c r="O1001" s="31"/>
      <c r="P1001" s="31"/>
      <c r="Q1001" s="31"/>
      <c r="R1001" s="31"/>
      <c r="S1001" s="31"/>
      <c r="T1001" s="31"/>
      <c r="U1001" s="31"/>
      <c r="V1001" s="31"/>
      <c r="W1001" s="31"/>
      <c r="X1001" s="31"/>
      <c r="Y1001" s="31"/>
      <c r="Z1001" s="31"/>
    </row>
    <row r="1002" ht="15.75" customHeight="1">
      <c r="A1002" s="31"/>
      <c r="B1002" s="31"/>
      <c r="C1002" s="31"/>
      <c r="D1002" s="31"/>
      <c r="E1002" s="31"/>
      <c r="F1002" s="31"/>
      <c r="G1002" s="31"/>
      <c r="H1002" s="31"/>
      <c r="I1002" s="31"/>
      <c r="J1002" s="31"/>
      <c r="K1002" s="31"/>
      <c r="L1002" s="31"/>
      <c r="M1002" s="31"/>
      <c r="N1002" s="31"/>
      <c r="O1002" s="31"/>
      <c r="P1002" s="31"/>
      <c r="Q1002" s="31"/>
      <c r="R1002" s="31"/>
      <c r="S1002" s="31"/>
      <c r="T1002" s="31"/>
      <c r="U1002" s="31"/>
      <c r="V1002" s="31"/>
      <c r="W1002" s="31"/>
      <c r="X1002" s="31"/>
      <c r="Y1002" s="31"/>
      <c r="Z1002" s="31"/>
    </row>
    <row r="1003" ht="15.75" customHeight="1">
      <c r="A1003" s="31"/>
      <c r="B1003" s="31"/>
      <c r="C1003" s="31"/>
      <c r="D1003" s="31"/>
      <c r="E1003" s="31"/>
      <c r="F1003" s="31"/>
      <c r="G1003" s="31"/>
      <c r="H1003" s="31"/>
      <c r="I1003" s="31"/>
      <c r="J1003" s="31"/>
      <c r="K1003" s="31"/>
      <c r="L1003" s="31"/>
      <c r="M1003" s="31"/>
      <c r="N1003" s="31"/>
      <c r="O1003" s="31"/>
      <c r="P1003" s="31"/>
      <c r="Q1003" s="31"/>
      <c r="R1003" s="31"/>
      <c r="S1003" s="31"/>
      <c r="T1003" s="31"/>
      <c r="U1003" s="31"/>
      <c r="V1003" s="31"/>
      <c r="W1003" s="31"/>
      <c r="X1003" s="31"/>
      <c r="Y1003" s="31"/>
      <c r="Z1003" s="31"/>
    </row>
    <row r="1004" ht="15.75" customHeight="1">
      <c r="A1004" s="31"/>
      <c r="B1004" s="31"/>
      <c r="C1004" s="31"/>
      <c r="D1004" s="31"/>
      <c r="E1004" s="31"/>
      <c r="F1004" s="31"/>
      <c r="G1004" s="31"/>
      <c r="H1004" s="31"/>
      <c r="I1004" s="31"/>
      <c r="J1004" s="31"/>
      <c r="K1004" s="31"/>
      <c r="L1004" s="31"/>
      <c r="M1004" s="31"/>
      <c r="N1004" s="31"/>
      <c r="O1004" s="31"/>
      <c r="P1004" s="31"/>
      <c r="Q1004" s="31"/>
      <c r="R1004" s="31"/>
      <c r="S1004" s="31"/>
      <c r="T1004" s="31"/>
      <c r="U1004" s="31"/>
      <c r="V1004" s="31"/>
      <c r="W1004" s="31"/>
      <c r="X1004" s="31"/>
      <c r="Y1004" s="31"/>
      <c r="Z1004" s="31"/>
    </row>
  </sheetData>
  <mergeCells count="8">
    <mergeCell ref="C2:D2"/>
    <mergeCell ref="C3:D3"/>
    <mergeCell ref="E2:F2"/>
    <mergeCell ref="E3:F3"/>
    <mergeCell ref="G2:H2"/>
    <mergeCell ref="G3:H3"/>
    <mergeCell ref="I2:J2"/>
    <mergeCell ref="I3:J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